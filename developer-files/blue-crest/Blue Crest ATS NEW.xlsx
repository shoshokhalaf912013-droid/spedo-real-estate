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" sheetId="1" r:id="rId4"/>
  </sheets>
  <definedNames/>
  <calcPr/>
  <extLst>
    <ext uri="GoogleSheetsCustomDataVersion2">
      <go:sheetsCustomData xmlns:go="http://customooxmlschemas.google.com/" r:id="rId5" roundtripDataChecksum="JRApJmLEuHlcqSwtUstYGJumjMZJXf5CKS84/4IHRl8="/>
    </ext>
  </extLst>
</workbook>
</file>

<file path=xl/sharedStrings.xml><?xml version="1.0" encoding="utf-8"?>
<sst xmlns="http://schemas.openxmlformats.org/spreadsheetml/2006/main" count="413" uniqueCount="119">
  <si>
    <t>updated</t>
  </si>
  <si>
    <t>Blue Crest Availability</t>
  </si>
  <si>
    <t>BUILDING - A</t>
  </si>
  <si>
    <t>Type: One Bedroom</t>
  </si>
  <si>
    <t>Apt.  No.</t>
  </si>
  <si>
    <t>Level</t>
  </si>
  <si>
    <t>Size (SQM)</t>
  </si>
  <si>
    <t>View</t>
  </si>
  <si>
    <t>Unit Price</t>
  </si>
  <si>
    <t>Downpayment. 20%</t>
  </si>
  <si>
    <t>Quartelerly Installments</t>
  </si>
  <si>
    <t>Maintenance. 08 %</t>
  </si>
  <si>
    <t>Facilities. 02%</t>
  </si>
  <si>
    <t>A-216</t>
  </si>
  <si>
    <t xml:space="preserve"> 2nd</t>
  </si>
  <si>
    <t>1 BR</t>
  </si>
  <si>
    <t>FRONT</t>
  </si>
  <si>
    <t>A-234</t>
  </si>
  <si>
    <t>City View</t>
  </si>
  <si>
    <t>A-235</t>
  </si>
  <si>
    <t>Mountain View</t>
  </si>
  <si>
    <t>A-237</t>
  </si>
  <si>
    <t>A-238</t>
  </si>
  <si>
    <t>BACK</t>
  </si>
  <si>
    <t>A-239</t>
  </si>
  <si>
    <t>A-240</t>
  </si>
  <si>
    <t>Pool / Direct Sea view</t>
  </si>
  <si>
    <t>A-315</t>
  </si>
  <si>
    <t>3ed</t>
  </si>
  <si>
    <t>A-316</t>
  </si>
  <si>
    <t>A-334</t>
  </si>
  <si>
    <t>STREET</t>
  </si>
  <si>
    <t>A-335</t>
  </si>
  <si>
    <t>A-416</t>
  </si>
  <si>
    <t>4th</t>
  </si>
  <si>
    <t>A-540</t>
  </si>
  <si>
    <t xml:space="preserve"> 5th</t>
  </si>
  <si>
    <t>Type: Two bedrooms</t>
  </si>
  <si>
    <t>A-241</t>
  </si>
  <si>
    <t>2 BR</t>
  </si>
  <si>
    <t>A-341</t>
  </si>
  <si>
    <t>BUILDING - В</t>
  </si>
  <si>
    <t>Type: One bedroom</t>
  </si>
  <si>
    <t>B-203</t>
  </si>
  <si>
    <t>B-205</t>
  </si>
  <si>
    <t>B-206</t>
  </si>
  <si>
    <t>B-207</t>
  </si>
  <si>
    <t>B-208</t>
  </si>
  <si>
    <t>B-303</t>
  </si>
  <si>
    <t>B-304</t>
  </si>
  <si>
    <t>B-305</t>
  </si>
  <si>
    <t>B-306</t>
  </si>
  <si>
    <t>B-307</t>
  </si>
  <si>
    <t>B-308</t>
  </si>
  <si>
    <t>B-219</t>
  </si>
  <si>
    <t>B-319</t>
  </si>
  <si>
    <t>B-419</t>
  </si>
  <si>
    <t>B-501</t>
  </si>
  <si>
    <t>B-519</t>
  </si>
  <si>
    <t>B-523</t>
  </si>
  <si>
    <t>BUILDING - C</t>
  </si>
  <si>
    <t>С-204</t>
  </si>
  <si>
    <t>С-205</t>
  </si>
  <si>
    <t>С-206</t>
  </si>
  <si>
    <t>С-207</t>
  </si>
  <si>
    <t>С-208</t>
  </si>
  <si>
    <t>С-209</t>
  </si>
  <si>
    <t>Mountains&amp;Sea View</t>
  </si>
  <si>
    <t>С-210</t>
  </si>
  <si>
    <t>C-211</t>
  </si>
  <si>
    <t>Sea View</t>
  </si>
  <si>
    <t>C-212</t>
  </si>
  <si>
    <t>C-213</t>
  </si>
  <si>
    <t>C-214</t>
  </si>
  <si>
    <t>C-215</t>
  </si>
  <si>
    <t>C-216</t>
  </si>
  <si>
    <t>C-231</t>
  </si>
  <si>
    <t>Pool&amp;Side Sea</t>
  </si>
  <si>
    <t>C-232</t>
  </si>
  <si>
    <t>C-233</t>
  </si>
  <si>
    <t>C-234</t>
  </si>
  <si>
    <t>C-236</t>
  </si>
  <si>
    <t>C-237</t>
  </si>
  <si>
    <t>C-238</t>
  </si>
  <si>
    <t>С-239</t>
  </si>
  <si>
    <t>С-240</t>
  </si>
  <si>
    <t>C-304</t>
  </si>
  <si>
    <t>C-305</t>
  </si>
  <si>
    <t>C-306</t>
  </si>
  <si>
    <t>C-307</t>
  </si>
  <si>
    <t>C-308</t>
  </si>
  <si>
    <t>C-309</t>
  </si>
  <si>
    <t>C-331</t>
  </si>
  <si>
    <t>C-332</t>
  </si>
  <si>
    <t>C-333</t>
  </si>
  <si>
    <t>C-334</t>
  </si>
  <si>
    <t>C-336</t>
  </si>
  <si>
    <t>C-338</t>
  </si>
  <si>
    <t>C-339</t>
  </si>
  <si>
    <t>C-340</t>
  </si>
  <si>
    <t>C-404</t>
  </si>
  <si>
    <t>C-406</t>
  </si>
  <si>
    <t>C-407</t>
  </si>
  <si>
    <t>C-408</t>
  </si>
  <si>
    <t>C-409</t>
  </si>
  <si>
    <t>C-438</t>
  </si>
  <si>
    <t>C-439</t>
  </si>
  <si>
    <t>C-440</t>
  </si>
  <si>
    <t>C-538</t>
  </si>
  <si>
    <t>C-539</t>
  </si>
  <si>
    <t>C-540</t>
  </si>
  <si>
    <t>C-230</t>
  </si>
  <si>
    <t>С-241</t>
  </si>
  <si>
    <t>C-341</t>
  </si>
  <si>
    <t>C-342</t>
  </si>
  <si>
    <t>C-441</t>
  </si>
  <si>
    <t>C-442</t>
  </si>
  <si>
    <t>C-541</t>
  </si>
  <si>
    <t>C-542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</si>
</sst>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EGP]\ #,##0"/>
  </numFmts>
  <fonts count="10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9.0"/>
      <color theme="1"/>
      <name val="Calibri"/>
    </font>
    <font>
      <sz val="12.0"/>
      <color theme="1"/>
      <name val="Times New Roman"/>
    </font>
    <font>
      <b/>
      <sz val="14.0"/>
      <color theme="1"/>
      <name val="Times New Roman"/>
    </font>
    <font/>
    <font>
      <sz val="11.0"/>
      <color theme="1"/>
      <name val="Calibri"/>
    </font>
    <font>
      <b/>
      <sz val="14.0"/>
      <color rgb="FF000000"/>
      <name val="Times New Roman"/>
    </font>
    <font>
      <b/>
      <sz val="14.0"/>
      <color rgb="FFFF0000"/>
      <name val="Times New Roman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4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6" fillId="3" fontId="3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 vertical="center"/>
    </xf>
    <xf borderId="7" fillId="4" fontId="9" numFmtId="0" xfId="0" applyAlignment="1" applyBorder="1" applyFont="1">
      <alignment horizontal="center"/>
    </xf>
    <xf borderId="7" fillId="4" fontId="3" numFmtId="164" xfId="0" applyAlignment="1" applyBorder="1" applyFont="1" applyNumberFormat="1">
      <alignment horizontal="center" vertical="center"/>
    </xf>
    <xf borderId="7" fillId="4" fontId="3" numFmtId="0" xfId="0" applyAlignment="1" applyBorder="1" applyFont="1">
      <alignment horizontal="center" shrinkToFit="0" vertical="center" wrapText="1"/>
    </xf>
    <xf borderId="8" fillId="5" fontId="6" numFmtId="0" xfId="0" applyBorder="1" applyFill="1" applyFont="1"/>
    <xf borderId="1" fillId="5" fontId="7" numFmtId="0" xfId="0" applyAlignment="1" applyBorder="1" applyFont="1">
      <alignment horizontal="left" vertical="center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vertical="center"/>
    </xf>
    <xf borderId="11" fillId="0" fontId="8" numFmtId="0" xfId="0" applyAlignment="1" applyBorder="1" applyFont="1">
      <alignment vertical="center"/>
    </xf>
    <xf borderId="7" fillId="3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center" readingOrder="0" vertical="center"/>
    </xf>
    <xf borderId="7" fillId="5" fontId="3" numFmtId="0" xfId="0" applyAlignment="1" applyBorder="1" applyFont="1">
      <alignment horizontal="center" vertical="center"/>
    </xf>
    <xf borderId="7" fillId="5" fontId="3" numFmtId="164" xfId="0" applyAlignment="1" applyBorder="1" applyFont="1" applyNumberFormat="1">
      <alignment horizontal="center" vertical="center"/>
    </xf>
    <xf borderId="8" fillId="5" fontId="3" numFmtId="0" xfId="0" applyAlignment="1" applyBorder="1" applyFont="1">
      <alignment horizontal="center" vertical="center"/>
    </xf>
    <xf borderId="8" fillId="5" fontId="3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4" width="9.0"/>
    <col customWidth="1" min="5" max="5" width="24.14"/>
    <col customWidth="1" min="6" max="6" width="15.14"/>
    <col customWidth="1" min="7" max="7" width="20.14"/>
    <col customWidth="1" min="8" max="8" width="13.43"/>
    <col customWidth="1" min="9" max="9" width="14.86"/>
    <col customWidth="1" min="10" max="10" width="15.43"/>
    <col customWidth="1" min="11" max="11" width="13.43"/>
    <col customWidth="1" min="12" max="16" width="8.57"/>
    <col customWidth="1" min="17" max="17" width="12.43"/>
    <col customWidth="1" min="18" max="18" width="20.43"/>
    <col customWidth="1" min="19" max="19" width="17.14"/>
    <col customWidth="1" min="20" max="20" width="13.43"/>
    <col customWidth="1" min="21" max="21" width="19.57"/>
    <col customWidth="1" min="23" max="26" width="8.57"/>
  </cols>
  <sheetData>
    <row r="1" ht="14.25" customHeight="1">
      <c r="J1" s="1" t="s">
        <v>0</v>
      </c>
    </row>
    <row r="2" ht="14.25" customHeight="1">
      <c r="J2" s="2">
        <v>46174.0</v>
      </c>
    </row>
    <row r="3" ht="22.5" customHeight="1">
      <c r="F3" s="3" t="s">
        <v>1</v>
      </c>
      <c r="N3" s="4"/>
      <c r="O3" s="4"/>
      <c r="P3" s="4"/>
      <c r="Q3" s="4"/>
      <c r="R3" s="5"/>
      <c r="S3" s="5"/>
      <c r="T3" s="5"/>
      <c r="U3" s="5"/>
      <c r="V3" s="5"/>
    </row>
    <row r="4" ht="14.25" customHeight="1">
      <c r="N4" s="4"/>
      <c r="O4" s="4"/>
      <c r="P4" s="4"/>
      <c r="Q4" s="4"/>
      <c r="R4" s="5"/>
      <c r="S4" s="5"/>
      <c r="T4" s="5"/>
      <c r="U4" s="5"/>
      <c r="V4" s="5"/>
    </row>
    <row r="5" ht="14.25" customHeight="1">
      <c r="N5" s="4"/>
      <c r="O5" s="4"/>
      <c r="P5" s="4"/>
      <c r="Q5" s="4"/>
      <c r="R5" s="5"/>
      <c r="S5" s="5"/>
      <c r="T5" s="5"/>
      <c r="U5" s="5"/>
      <c r="V5" s="5"/>
    </row>
    <row r="6" ht="14.25" customHeight="1">
      <c r="A6" s="6" t="s">
        <v>2</v>
      </c>
      <c r="B6" s="7"/>
      <c r="C6" s="7"/>
      <c r="D6" s="7"/>
      <c r="E6" s="7"/>
      <c r="F6" s="7"/>
      <c r="G6" s="7"/>
      <c r="H6" s="7"/>
      <c r="I6" s="7"/>
      <c r="J6" s="8"/>
      <c r="N6" s="4"/>
      <c r="O6" s="4"/>
      <c r="P6" s="4"/>
      <c r="Q6" s="4"/>
      <c r="R6" s="5"/>
      <c r="S6" s="5"/>
      <c r="T6" s="5"/>
      <c r="U6" s="5"/>
      <c r="V6" s="5"/>
    </row>
    <row r="7" ht="14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10"/>
      <c r="L7" s="10"/>
      <c r="M7" s="10"/>
      <c r="N7" s="4"/>
      <c r="O7" s="4"/>
      <c r="P7" s="4"/>
      <c r="Q7" s="4"/>
      <c r="R7" s="5"/>
      <c r="S7" s="5"/>
      <c r="T7" s="5"/>
      <c r="U7" s="5"/>
      <c r="V7" s="5"/>
      <c r="W7" s="10"/>
      <c r="X7" s="10"/>
      <c r="Y7" s="10"/>
      <c r="Z7" s="10"/>
    </row>
    <row r="8" ht="14.25" customHeight="1">
      <c r="A8" s="4"/>
      <c r="B8" s="4"/>
      <c r="C8" s="4"/>
      <c r="D8" s="11"/>
      <c r="E8" s="4"/>
      <c r="F8" s="4"/>
      <c r="G8" s="11"/>
      <c r="H8" s="11"/>
      <c r="I8" s="11"/>
      <c r="J8" s="11"/>
      <c r="N8" s="4"/>
      <c r="O8" s="4"/>
      <c r="P8" s="4"/>
      <c r="Q8" s="4"/>
      <c r="R8" s="5"/>
      <c r="S8" s="5"/>
      <c r="T8" s="5"/>
      <c r="U8" s="5"/>
      <c r="V8" s="5"/>
    </row>
    <row r="9" ht="14.25" customHeight="1">
      <c r="A9" s="12" t="s">
        <v>3</v>
      </c>
      <c r="B9" s="13"/>
      <c r="C9" s="14"/>
      <c r="D9" s="11"/>
      <c r="E9" s="4"/>
      <c r="F9" s="4"/>
      <c r="G9" s="11"/>
      <c r="H9" s="11"/>
      <c r="I9" s="11"/>
      <c r="J9" s="11"/>
      <c r="N9" s="4"/>
      <c r="O9" s="4"/>
      <c r="P9" s="4"/>
      <c r="Q9" s="4"/>
      <c r="R9" s="5"/>
      <c r="S9" s="5"/>
      <c r="T9" s="5"/>
      <c r="U9" s="5"/>
      <c r="V9" s="5"/>
    </row>
    <row r="10" ht="14.25" customHeight="1">
      <c r="A10" s="15" t="s">
        <v>4</v>
      </c>
      <c r="B10" s="15" t="s">
        <v>5</v>
      </c>
      <c r="C10" s="15"/>
      <c r="D10" s="16" t="s">
        <v>6</v>
      </c>
      <c r="E10" s="15" t="s">
        <v>7</v>
      </c>
      <c r="F10" s="15" t="s">
        <v>8</v>
      </c>
      <c r="G10" s="16" t="s">
        <v>9</v>
      </c>
      <c r="H10" s="16" t="s">
        <v>10</v>
      </c>
      <c r="I10" s="16" t="s">
        <v>11</v>
      </c>
      <c r="J10" s="16" t="s">
        <v>12</v>
      </c>
      <c r="N10" s="4"/>
      <c r="O10" s="4"/>
      <c r="P10" s="4"/>
      <c r="Q10" s="4"/>
      <c r="R10" s="5"/>
      <c r="S10" s="5"/>
      <c r="T10" s="5"/>
      <c r="U10" s="5"/>
      <c r="V10" s="5"/>
    </row>
    <row r="11" ht="14.25" customHeight="1">
      <c r="A11" s="17"/>
      <c r="B11" s="17"/>
      <c r="C11" s="17"/>
      <c r="D11" s="18"/>
      <c r="E11" s="17"/>
      <c r="F11" s="19"/>
      <c r="G11" s="19"/>
      <c r="H11" s="19"/>
      <c r="I11" s="19"/>
      <c r="J11" s="19"/>
      <c r="N11" s="4"/>
      <c r="O11" s="4"/>
      <c r="P11" s="4"/>
      <c r="Q11" s="4"/>
      <c r="R11" s="5"/>
      <c r="S11" s="5"/>
      <c r="T11" s="5"/>
      <c r="U11" s="5"/>
      <c r="V11" s="5"/>
    </row>
    <row r="12" ht="14.25" customHeight="1">
      <c r="A12" s="17" t="s">
        <v>13</v>
      </c>
      <c r="B12" s="17" t="s">
        <v>14</v>
      </c>
      <c r="C12" s="17" t="s">
        <v>15</v>
      </c>
      <c r="D12" s="18">
        <v>60.0</v>
      </c>
      <c r="E12" s="17" t="s">
        <v>16</v>
      </c>
      <c r="F12" s="19">
        <v>2970000.0</v>
      </c>
      <c r="G12" s="19">
        <f>F12*20%</f>
        <v>594000</v>
      </c>
      <c r="H12" s="19">
        <f>(F12*80%)/16</f>
        <v>148500</v>
      </c>
      <c r="I12" s="19">
        <f>F12*8%</f>
        <v>237600</v>
      </c>
      <c r="J12" s="19">
        <f>F12*2%</f>
        <v>59400</v>
      </c>
    </row>
    <row r="13" ht="14.25" customHeight="1">
      <c r="A13" s="17" t="s">
        <v>17</v>
      </c>
      <c r="B13" s="17" t="s">
        <v>14</v>
      </c>
      <c r="C13" s="17" t="s">
        <v>15</v>
      </c>
      <c r="D13" s="18">
        <v>60.0</v>
      </c>
      <c r="E13" s="17" t="s">
        <v>18</v>
      </c>
      <c r="F13" s="19">
        <v>2772000.0</v>
      </c>
      <c r="G13" s="19">
        <v>554400.0</v>
      </c>
      <c r="H13" s="19">
        <v>138600.0</v>
      </c>
      <c r="I13" s="19">
        <v>221760.0</v>
      </c>
      <c r="J13" s="19">
        <v>55440.0</v>
      </c>
    </row>
    <row r="14" ht="14.25" customHeight="1">
      <c r="A14" s="17" t="s">
        <v>19</v>
      </c>
      <c r="B14" s="17" t="s">
        <v>14</v>
      </c>
      <c r="C14" s="17" t="s">
        <v>15</v>
      </c>
      <c r="D14" s="18">
        <v>60.0</v>
      </c>
      <c r="E14" s="20" t="s">
        <v>20</v>
      </c>
      <c r="F14" s="19">
        <v>2640000.0</v>
      </c>
      <c r="G14" s="19">
        <v>528000.0</v>
      </c>
      <c r="H14" s="19">
        <v>132000.0</v>
      </c>
      <c r="I14" s="19">
        <v>211200.0</v>
      </c>
      <c r="J14" s="19">
        <v>52800.0</v>
      </c>
      <c r="K14" s="21"/>
    </row>
    <row r="15" ht="14.25" customHeight="1">
      <c r="A15" s="17" t="s">
        <v>21</v>
      </c>
      <c r="B15" s="17" t="s">
        <v>14</v>
      </c>
      <c r="C15" s="17" t="s">
        <v>15</v>
      </c>
      <c r="D15" s="18">
        <v>60.0</v>
      </c>
      <c r="E15" s="20" t="s">
        <v>20</v>
      </c>
      <c r="F15" s="19">
        <v>2640000.0</v>
      </c>
      <c r="G15" s="19">
        <v>528000.0</v>
      </c>
      <c r="H15" s="19">
        <v>132000.0</v>
      </c>
      <c r="I15" s="19">
        <v>211200.0</v>
      </c>
      <c r="J15" s="19">
        <v>52800.0</v>
      </c>
    </row>
    <row r="16" ht="14.25" customHeight="1">
      <c r="A16" s="17" t="s">
        <v>22</v>
      </c>
      <c r="B16" s="17" t="s">
        <v>14</v>
      </c>
      <c r="C16" s="17" t="s">
        <v>15</v>
      </c>
      <c r="D16" s="18">
        <v>56.0</v>
      </c>
      <c r="E16" s="17" t="s">
        <v>23</v>
      </c>
      <c r="F16" s="19">
        <v>2464000.0</v>
      </c>
      <c r="G16" s="19">
        <f>F16*20%</f>
        <v>492800</v>
      </c>
      <c r="H16" s="19">
        <f>(F16*80%)/16</f>
        <v>123200</v>
      </c>
      <c r="I16" s="19">
        <f>F16*8%</f>
        <v>197120</v>
      </c>
      <c r="J16" s="19">
        <f>F16*2%</f>
        <v>49280</v>
      </c>
      <c r="K16" s="10"/>
    </row>
    <row r="17" ht="14.25" customHeight="1">
      <c r="A17" s="17" t="s">
        <v>24</v>
      </c>
      <c r="B17" s="17" t="s">
        <v>14</v>
      </c>
      <c r="C17" s="17" t="s">
        <v>15</v>
      </c>
      <c r="D17" s="17">
        <v>60.0</v>
      </c>
      <c r="E17" s="17" t="s">
        <v>23</v>
      </c>
      <c r="F17" s="19">
        <v>2640000.0</v>
      </c>
      <c r="G17" s="19">
        <v>528000.0</v>
      </c>
      <c r="H17" s="19">
        <v>132000.0</v>
      </c>
      <c r="I17" s="19">
        <v>211200.0</v>
      </c>
      <c r="J17" s="19">
        <v>52800.0</v>
      </c>
    </row>
    <row r="18" ht="14.25" customHeight="1">
      <c r="A18" s="17" t="s">
        <v>25</v>
      </c>
      <c r="B18" s="17" t="s">
        <v>14</v>
      </c>
      <c r="C18" s="17" t="s">
        <v>15</v>
      </c>
      <c r="D18" s="17">
        <v>57.0</v>
      </c>
      <c r="E18" s="17" t="s">
        <v>26</v>
      </c>
      <c r="F18" s="19">
        <v>2821500.0</v>
      </c>
      <c r="G18" s="19">
        <v>564300.0</v>
      </c>
      <c r="H18" s="19">
        <v>141075.0</v>
      </c>
      <c r="I18" s="19">
        <v>225720.0</v>
      </c>
      <c r="J18" s="19">
        <v>56430.0</v>
      </c>
    </row>
    <row r="19" ht="14.25" customHeight="1">
      <c r="A19" s="17" t="s">
        <v>27</v>
      </c>
      <c r="B19" s="17" t="s">
        <v>28</v>
      </c>
      <c r="C19" s="17" t="s">
        <v>15</v>
      </c>
      <c r="D19" s="17">
        <v>60.0</v>
      </c>
      <c r="E19" s="17" t="s">
        <v>16</v>
      </c>
      <c r="F19" s="19">
        <v>2970000.0</v>
      </c>
      <c r="G19" s="19">
        <f t="shared" ref="G19:G20" si="1">F19*20%</f>
        <v>594000</v>
      </c>
      <c r="H19" s="19">
        <f t="shared" ref="H19:H20" si="2">(F19*80%)/16</f>
        <v>148500</v>
      </c>
      <c r="I19" s="19">
        <f t="shared" ref="I19:I20" si="3">F19*8%</f>
        <v>237600</v>
      </c>
      <c r="J19" s="19">
        <f t="shared" ref="J19:J20" si="4">F19*2%</f>
        <v>59400</v>
      </c>
    </row>
    <row r="20" ht="14.25" customHeight="1">
      <c r="A20" s="17" t="s">
        <v>29</v>
      </c>
      <c r="B20" s="17" t="s">
        <v>28</v>
      </c>
      <c r="C20" s="17" t="s">
        <v>15</v>
      </c>
      <c r="D20" s="17">
        <v>60.0</v>
      </c>
      <c r="E20" s="17" t="s">
        <v>16</v>
      </c>
      <c r="F20" s="19">
        <v>2970000.0</v>
      </c>
      <c r="G20" s="19">
        <f t="shared" si="1"/>
        <v>594000</v>
      </c>
      <c r="H20" s="19">
        <f t="shared" si="2"/>
        <v>148500</v>
      </c>
      <c r="I20" s="19">
        <f t="shared" si="3"/>
        <v>237600</v>
      </c>
      <c r="J20" s="19">
        <f t="shared" si="4"/>
        <v>59400</v>
      </c>
    </row>
    <row r="21" ht="14.25" customHeight="1">
      <c r="A21" s="17" t="s">
        <v>30</v>
      </c>
      <c r="B21" s="17" t="s">
        <v>28</v>
      </c>
      <c r="C21" s="17" t="s">
        <v>15</v>
      </c>
      <c r="D21" s="17">
        <v>60.0</v>
      </c>
      <c r="E21" s="17" t="s">
        <v>31</v>
      </c>
      <c r="F21" s="19">
        <v>2772000.0</v>
      </c>
      <c r="G21" s="19">
        <v>554400.0</v>
      </c>
      <c r="H21" s="19">
        <v>138600.0</v>
      </c>
      <c r="I21" s="19">
        <v>221760.0</v>
      </c>
      <c r="J21" s="19">
        <v>55440.0</v>
      </c>
    </row>
    <row r="22" ht="14.25" customHeight="1">
      <c r="A22" s="17" t="s">
        <v>32</v>
      </c>
      <c r="B22" s="17" t="s">
        <v>28</v>
      </c>
      <c r="C22" s="17" t="s">
        <v>15</v>
      </c>
      <c r="D22" s="17">
        <v>60.0</v>
      </c>
      <c r="E22" s="17" t="s">
        <v>23</v>
      </c>
      <c r="F22" s="19">
        <v>2640000.0</v>
      </c>
      <c r="G22" s="19">
        <v>528000.0</v>
      </c>
      <c r="H22" s="19">
        <v>132000.0</v>
      </c>
      <c r="I22" s="19">
        <v>211200.0</v>
      </c>
      <c r="J22" s="19">
        <v>52800.0</v>
      </c>
    </row>
    <row r="23" ht="14.25" customHeight="1">
      <c r="A23" s="17" t="s">
        <v>33</v>
      </c>
      <c r="B23" s="17" t="s">
        <v>34</v>
      </c>
      <c r="C23" s="17" t="s">
        <v>15</v>
      </c>
      <c r="D23" s="17">
        <v>60.0</v>
      </c>
      <c r="E23" s="17" t="s">
        <v>16</v>
      </c>
      <c r="F23" s="19">
        <v>2970000.0</v>
      </c>
      <c r="G23" s="19">
        <f t="shared" ref="G23:G24" si="5">F23*20%</f>
        <v>594000</v>
      </c>
      <c r="H23" s="19">
        <f t="shared" ref="H23:H24" si="6">(F23*80%)/16</f>
        <v>148500</v>
      </c>
      <c r="I23" s="19">
        <f t="shared" ref="I23:I24" si="7">F23*8%</f>
        <v>237600</v>
      </c>
      <c r="J23" s="19">
        <f t="shared" ref="J23:J24" si="8">F23*2%</f>
        <v>59400</v>
      </c>
    </row>
    <row r="24" ht="14.25" customHeight="1">
      <c r="A24" s="17" t="s">
        <v>35</v>
      </c>
      <c r="B24" s="17" t="s">
        <v>36</v>
      </c>
      <c r="C24" s="17" t="s">
        <v>15</v>
      </c>
      <c r="D24" s="17">
        <v>57.0</v>
      </c>
      <c r="E24" s="17" t="s">
        <v>26</v>
      </c>
      <c r="F24" s="19">
        <v>3135000.0</v>
      </c>
      <c r="G24" s="19">
        <f t="shared" si="5"/>
        <v>627000</v>
      </c>
      <c r="H24" s="19">
        <f t="shared" si="6"/>
        <v>156750</v>
      </c>
      <c r="I24" s="19">
        <f t="shared" si="7"/>
        <v>250800</v>
      </c>
      <c r="J24" s="19">
        <f t="shared" si="8"/>
        <v>62700</v>
      </c>
    </row>
    <row r="26" ht="14.25" customHeight="1">
      <c r="A26" s="22" t="s">
        <v>37</v>
      </c>
      <c r="B26" s="7"/>
      <c r="C26" s="7"/>
      <c r="D26" s="8"/>
    </row>
    <row r="27" ht="14.25" customHeight="1">
      <c r="A27" s="23" t="s">
        <v>4</v>
      </c>
      <c r="B27" s="23" t="s">
        <v>5</v>
      </c>
      <c r="C27" s="23"/>
      <c r="D27" s="24" t="s">
        <v>6</v>
      </c>
      <c r="E27" s="15" t="s">
        <v>7</v>
      </c>
      <c r="F27" s="15" t="s">
        <v>8</v>
      </c>
      <c r="G27" s="16" t="s">
        <v>9</v>
      </c>
      <c r="H27" s="16" t="s">
        <v>10</v>
      </c>
      <c r="I27" s="16" t="s">
        <v>11</v>
      </c>
      <c r="J27" s="16" t="s">
        <v>12</v>
      </c>
    </row>
    <row r="28" ht="14.25" customHeight="1">
      <c r="A28" s="17" t="s">
        <v>38</v>
      </c>
      <c r="B28" s="17" t="s">
        <v>14</v>
      </c>
      <c r="C28" s="17" t="s">
        <v>39</v>
      </c>
      <c r="D28" s="17">
        <v>90.0</v>
      </c>
      <c r="E28" s="17" t="s">
        <v>26</v>
      </c>
      <c r="F28" s="19">
        <v>4455000.0</v>
      </c>
      <c r="G28" s="19">
        <v>891000.0</v>
      </c>
      <c r="H28" s="19">
        <v>222750.0</v>
      </c>
      <c r="I28" s="19">
        <v>356400.0</v>
      </c>
      <c r="J28" s="19">
        <v>89100.0</v>
      </c>
    </row>
    <row r="29" ht="14.25" customHeight="1">
      <c r="A29" s="17" t="s">
        <v>40</v>
      </c>
      <c r="B29" s="17" t="s">
        <v>28</v>
      </c>
      <c r="C29" s="17" t="s">
        <v>39</v>
      </c>
      <c r="D29" s="17">
        <v>90.0</v>
      </c>
      <c r="E29" s="17" t="s">
        <v>26</v>
      </c>
      <c r="F29" s="19">
        <v>4455000.0</v>
      </c>
      <c r="G29" s="19">
        <v>891000.0</v>
      </c>
      <c r="H29" s="19">
        <v>222750.0</v>
      </c>
      <c r="I29" s="19">
        <v>356400.0</v>
      </c>
      <c r="J29" s="19">
        <v>89100.0</v>
      </c>
    </row>
    <row r="30" ht="14.25" customHeight="1">
      <c r="A30" s="17"/>
      <c r="B30" s="17"/>
      <c r="C30" s="17"/>
      <c r="D30" s="17"/>
      <c r="E30" s="17"/>
      <c r="F30" s="19"/>
      <c r="G30" s="19"/>
      <c r="H30" s="19"/>
      <c r="I30" s="19"/>
      <c r="J30" s="19"/>
    </row>
    <row r="31" ht="14.25" customHeight="1"/>
    <row r="32" ht="14.25" customHeight="1"/>
    <row r="33" ht="14.25" customHeight="1">
      <c r="A33" s="6" t="s">
        <v>41</v>
      </c>
      <c r="B33" s="7"/>
      <c r="C33" s="7"/>
      <c r="D33" s="7"/>
      <c r="E33" s="7"/>
      <c r="F33" s="7"/>
      <c r="G33" s="7"/>
      <c r="H33" s="7"/>
      <c r="I33" s="7"/>
      <c r="J33" s="8"/>
    </row>
    <row r="34" ht="14.25" customHeight="1"/>
    <row r="35" ht="14.25" customHeight="1"/>
    <row r="36" ht="14.25" customHeight="1">
      <c r="A36" s="25" t="s">
        <v>42</v>
      </c>
      <c r="B36" s="26"/>
      <c r="C36" s="14"/>
      <c r="D36" s="11"/>
    </row>
    <row r="37" ht="14.25" customHeight="1">
      <c r="A37" s="27" t="s">
        <v>4</v>
      </c>
      <c r="B37" s="27" t="s">
        <v>5</v>
      </c>
      <c r="C37" s="27"/>
      <c r="D37" s="28" t="s">
        <v>6</v>
      </c>
      <c r="E37" s="27" t="s">
        <v>7</v>
      </c>
      <c r="F37" s="27" t="s">
        <v>8</v>
      </c>
      <c r="G37" s="28" t="s">
        <v>9</v>
      </c>
      <c r="H37" s="28" t="s">
        <v>10</v>
      </c>
      <c r="I37" s="28" t="s">
        <v>11</v>
      </c>
      <c r="J37" s="28" t="s">
        <v>12</v>
      </c>
    </row>
    <row r="38" ht="14.25" customHeight="1">
      <c r="A38" s="29" t="s">
        <v>43</v>
      </c>
      <c r="B38" s="29" t="s">
        <v>14</v>
      </c>
      <c r="C38" s="29" t="s">
        <v>15</v>
      </c>
      <c r="D38" s="29">
        <v>56.0</v>
      </c>
      <c r="E38" s="29" t="s">
        <v>23</v>
      </c>
      <c r="F38" s="30">
        <v>2464000.0</v>
      </c>
      <c r="G38" s="30">
        <f t="shared" ref="G38:G39" si="9">F38*20%</f>
        <v>492800</v>
      </c>
      <c r="H38" s="30">
        <f t="shared" ref="H38:H39" si="10">(F38*80%)/16</f>
        <v>123200</v>
      </c>
      <c r="I38" s="30">
        <f t="shared" ref="I38:I39" si="11">F38*8%</f>
        <v>197120</v>
      </c>
      <c r="J38" s="30">
        <f t="shared" ref="J38:J39" si="12">F38*2%</f>
        <v>49280</v>
      </c>
    </row>
    <row r="39" ht="14.25" customHeight="1">
      <c r="A39" s="29" t="s">
        <v>44</v>
      </c>
      <c r="B39" s="29" t="s">
        <v>14</v>
      </c>
      <c r="C39" s="29" t="s">
        <v>15</v>
      </c>
      <c r="D39" s="29">
        <v>56.0</v>
      </c>
      <c r="E39" s="29" t="s">
        <v>23</v>
      </c>
      <c r="F39" s="30">
        <v>2464000.0</v>
      </c>
      <c r="G39" s="30">
        <f t="shared" si="9"/>
        <v>492800</v>
      </c>
      <c r="H39" s="30">
        <f t="shared" si="10"/>
        <v>123200</v>
      </c>
      <c r="I39" s="30">
        <f t="shared" si="11"/>
        <v>197120</v>
      </c>
      <c r="J39" s="30">
        <f t="shared" si="12"/>
        <v>49280</v>
      </c>
    </row>
    <row r="40" ht="14.25" customHeight="1">
      <c r="A40" s="29" t="s">
        <v>45</v>
      </c>
      <c r="B40" s="29" t="s">
        <v>14</v>
      </c>
      <c r="C40" s="29" t="s">
        <v>15</v>
      </c>
      <c r="D40" s="29">
        <v>60.0</v>
      </c>
      <c r="E40" s="29" t="s">
        <v>23</v>
      </c>
      <c r="F40" s="30">
        <v>2640000.0</v>
      </c>
      <c r="G40" s="30">
        <v>528000.0</v>
      </c>
      <c r="H40" s="30">
        <v>132000.0</v>
      </c>
      <c r="I40" s="30">
        <v>211200.0</v>
      </c>
      <c r="J40" s="30">
        <v>52800.0</v>
      </c>
    </row>
    <row r="41" ht="14.25" customHeight="1">
      <c r="A41" s="29" t="s">
        <v>46</v>
      </c>
      <c r="B41" s="29" t="s">
        <v>14</v>
      </c>
      <c r="C41" s="29" t="s">
        <v>15</v>
      </c>
      <c r="D41" s="29">
        <v>56.0</v>
      </c>
      <c r="E41" s="29" t="s">
        <v>23</v>
      </c>
      <c r="F41" s="30">
        <v>2464000.0</v>
      </c>
      <c r="G41" s="30">
        <f>F41*20%</f>
        <v>492800</v>
      </c>
      <c r="H41" s="30">
        <f>(F41*80%)/16</f>
        <v>123200</v>
      </c>
      <c r="I41" s="30">
        <f>F41*8%</f>
        <v>197120</v>
      </c>
      <c r="J41" s="30">
        <f>F41*2%</f>
        <v>49280</v>
      </c>
    </row>
    <row r="42" ht="14.25" customHeight="1">
      <c r="A42" s="29" t="s">
        <v>47</v>
      </c>
      <c r="B42" s="29" t="s">
        <v>14</v>
      </c>
      <c r="C42" s="29" t="s">
        <v>15</v>
      </c>
      <c r="D42" s="29">
        <v>60.0</v>
      </c>
      <c r="E42" s="29" t="s">
        <v>23</v>
      </c>
      <c r="F42" s="30">
        <v>2640000.0</v>
      </c>
      <c r="G42" s="30">
        <v>528000.0</v>
      </c>
      <c r="H42" s="30">
        <v>132000.0</v>
      </c>
      <c r="I42" s="30">
        <v>211200.0</v>
      </c>
      <c r="J42" s="30">
        <v>52800.0</v>
      </c>
    </row>
    <row r="43" ht="14.25" customHeight="1">
      <c r="A43" s="29" t="s">
        <v>48</v>
      </c>
      <c r="B43" s="29" t="s">
        <v>28</v>
      </c>
      <c r="C43" s="29" t="s">
        <v>15</v>
      </c>
      <c r="D43" s="29">
        <v>56.0</v>
      </c>
      <c r="E43" s="29" t="s">
        <v>23</v>
      </c>
      <c r="F43" s="30">
        <v>2464000.0</v>
      </c>
      <c r="G43" s="30">
        <f>F43*20%</f>
        <v>492800</v>
      </c>
      <c r="H43" s="30">
        <f>(F43*80%)/16</f>
        <v>123200</v>
      </c>
      <c r="I43" s="30">
        <f>F43*8%</f>
        <v>197120</v>
      </c>
      <c r="J43" s="30">
        <f>F43*2%</f>
        <v>49280</v>
      </c>
    </row>
    <row r="44" ht="14.25" customHeight="1">
      <c r="A44" s="31" t="s">
        <v>49</v>
      </c>
      <c r="B44" s="32" t="s">
        <v>28</v>
      </c>
      <c r="C44" s="32" t="s">
        <v>15</v>
      </c>
      <c r="D44" s="32">
        <v>60.0</v>
      </c>
      <c r="E44" s="32" t="s">
        <v>23</v>
      </c>
      <c r="F44" s="33">
        <v>2640000.0</v>
      </c>
      <c r="G44" s="33">
        <v>528000.0</v>
      </c>
      <c r="H44" s="33">
        <v>132000.0</v>
      </c>
      <c r="I44" s="33">
        <v>211200.0</v>
      </c>
      <c r="J44" s="33">
        <v>52800.0</v>
      </c>
    </row>
    <row r="45" ht="14.25" customHeight="1">
      <c r="A45" s="29" t="s">
        <v>50</v>
      </c>
      <c r="B45" s="29" t="s">
        <v>28</v>
      </c>
      <c r="C45" s="29" t="s">
        <v>15</v>
      </c>
      <c r="D45" s="29">
        <v>56.0</v>
      </c>
      <c r="E45" s="29" t="s">
        <v>23</v>
      </c>
      <c r="F45" s="30">
        <v>2464000.0</v>
      </c>
      <c r="G45" s="30">
        <f>F45*20%</f>
        <v>492800</v>
      </c>
      <c r="H45" s="30">
        <f>(F45*80%)/16</f>
        <v>123200</v>
      </c>
      <c r="I45" s="30">
        <f>F45*8%</f>
        <v>197120</v>
      </c>
      <c r="J45" s="30">
        <f>F45*2%</f>
        <v>49280</v>
      </c>
    </row>
    <row r="46" ht="14.25" customHeight="1">
      <c r="A46" s="29" t="s">
        <v>51</v>
      </c>
      <c r="B46" s="29" t="s">
        <v>28</v>
      </c>
      <c r="C46" s="29" t="s">
        <v>15</v>
      </c>
      <c r="D46" s="29">
        <v>60.0</v>
      </c>
      <c r="E46" s="29" t="s">
        <v>23</v>
      </c>
      <c r="F46" s="30">
        <v>2640000.0</v>
      </c>
      <c r="G46" s="30">
        <v>528000.0</v>
      </c>
      <c r="H46" s="30">
        <v>132000.0</v>
      </c>
      <c r="I46" s="30">
        <v>211200.0</v>
      </c>
      <c r="J46" s="30">
        <v>52800.0</v>
      </c>
    </row>
    <row r="47" ht="14.25" customHeight="1">
      <c r="A47" s="29" t="s">
        <v>52</v>
      </c>
      <c r="B47" s="29" t="s">
        <v>28</v>
      </c>
      <c r="C47" s="29" t="s">
        <v>15</v>
      </c>
      <c r="D47" s="29">
        <v>56.0</v>
      </c>
      <c r="E47" s="29" t="s">
        <v>23</v>
      </c>
      <c r="F47" s="30">
        <v>2464000.0</v>
      </c>
      <c r="G47" s="30">
        <f>F47*20%</f>
        <v>492800</v>
      </c>
      <c r="H47" s="30">
        <f>(F47*80%)/16</f>
        <v>123200</v>
      </c>
      <c r="I47" s="30">
        <f>F47*8%</f>
        <v>197120</v>
      </c>
      <c r="J47" s="30">
        <f>F47*2%</f>
        <v>49280</v>
      </c>
    </row>
    <row r="48" ht="14.25" customHeight="1">
      <c r="A48" s="29" t="s">
        <v>53</v>
      </c>
      <c r="B48" s="29" t="s">
        <v>28</v>
      </c>
      <c r="C48" s="29" t="s">
        <v>15</v>
      </c>
      <c r="D48" s="29">
        <v>60.0</v>
      </c>
      <c r="E48" s="29" t="s">
        <v>23</v>
      </c>
      <c r="F48" s="30">
        <v>2640000.0</v>
      </c>
      <c r="G48" s="30">
        <v>528000.0</v>
      </c>
      <c r="H48" s="30">
        <v>132000.0</v>
      </c>
      <c r="I48" s="30">
        <v>211200.0</v>
      </c>
      <c r="J48" s="30">
        <v>52800.0</v>
      </c>
    </row>
    <row r="49" ht="14.25" customHeight="1"/>
    <row r="50" ht="14.25" customHeight="1">
      <c r="A50" s="22" t="s">
        <v>37</v>
      </c>
      <c r="B50" s="7"/>
      <c r="C50" s="7"/>
      <c r="D50" s="8"/>
    </row>
    <row r="51" ht="14.25" customHeight="1">
      <c r="A51" s="27" t="s">
        <v>4</v>
      </c>
      <c r="B51" s="27" t="s">
        <v>5</v>
      </c>
      <c r="C51" s="27"/>
      <c r="D51" s="28" t="s">
        <v>6</v>
      </c>
      <c r="E51" s="27" t="s">
        <v>7</v>
      </c>
      <c r="F51" s="27" t="s">
        <v>8</v>
      </c>
      <c r="G51" s="28" t="s">
        <v>9</v>
      </c>
      <c r="H51" s="28" t="s">
        <v>10</v>
      </c>
      <c r="I51" s="28" t="s">
        <v>11</v>
      </c>
      <c r="J51" s="28" t="s">
        <v>12</v>
      </c>
    </row>
    <row r="52" ht="14.25" customHeight="1">
      <c r="A52" s="29" t="s">
        <v>54</v>
      </c>
      <c r="B52" s="29" t="s">
        <v>14</v>
      </c>
      <c r="C52" s="29" t="s">
        <v>39</v>
      </c>
      <c r="D52" s="29">
        <v>88.0</v>
      </c>
      <c r="E52" s="29" t="s">
        <v>16</v>
      </c>
      <c r="F52" s="30">
        <v>5720000.0</v>
      </c>
      <c r="G52" s="30">
        <f t="shared" ref="G52:G57" si="13">F52*20%</f>
        <v>1144000</v>
      </c>
      <c r="H52" s="30">
        <f t="shared" ref="H52:H57" si="14">(F52*80%)/16</f>
        <v>286000</v>
      </c>
      <c r="I52" s="30">
        <f t="shared" ref="I52:I57" si="15">F52*8%</f>
        <v>457600</v>
      </c>
      <c r="J52" s="30">
        <f t="shared" ref="J52:J57" si="16">F52*2%</f>
        <v>114400</v>
      </c>
    </row>
    <row r="53" ht="14.25" customHeight="1">
      <c r="A53" s="29" t="s">
        <v>55</v>
      </c>
      <c r="B53" s="29" t="s">
        <v>28</v>
      </c>
      <c r="C53" s="29" t="s">
        <v>39</v>
      </c>
      <c r="D53" s="29">
        <v>88.0</v>
      </c>
      <c r="E53" s="29" t="s">
        <v>16</v>
      </c>
      <c r="F53" s="30">
        <v>5720000.0</v>
      </c>
      <c r="G53" s="30">
        <f t="shared" si="13"/>
        <v>1144000</v>
      </c>
      <c r="H53" s="30">
        <f t="shared" si="14"/>
        <v>286000</v>
      </c>
      <c r="I53" s="30">
        <f t="shared" si="15"/>
        <v>457600</v>
      </c>
      <c r="J53" s="30">
        <f t="shared" si="16"/>
        <v>114400</v>
      </c>
    </row>
    <row r="54" ht="14.25" customHeight="1">
      <c r="A54" s="29" t="s">
        <v>56</v>
      </c>
      <c r="B54" s="29" t="s">
        <v>34</v>
      </c>
      <c r="C54" s="29" t="s">
        <v>39</v>
      </c>
      <c r="D54" s="29">
        <v>88.0</v>
      </c>
      <c r="E54" s="29" t="s">
        <v>16</v>
      </c>
      <c r="F54" s="30">
        <v>5720000.0</v>
      </c>
      <c r="G54" s="30">
        <f t="shared" si="13"/>
        <v>1144000</v>
      </c>
      <c r="H54" s="30">
        <f t="shared" si="14"/>
        <v>286000</v>
      </c>
      <c r="I54" s="30">
        <f t="shared" si="15"/>
        <v>457600</v>
      </c>
      <c r="J54" s="30">
        <f t="shared" si="16"/>
        <v>114400</v>
      </c>
    </row>
    <row r="55" ht="14.25" customHeight="1">
      <c r="A55" s="29" t="s">
        <v>57</v>
      </c>
      <c r="B55" s="29" t="s">
        <v>36</v>
      </c>
      <c r="C55" s="29" t="s">
        <v>39</v>
      </c>
      <c r="D55" s="29">
        <v>90.0</v>
      </c>
      <c r="E55" s="29" t="s">
        <v>26</v>
      </c>
      <c r="F55" s="30">
        <v>4950000.0</v>
      </c>
      <c r="G55" s="30">
        <f t="shared" si="13"/>
        <v>990000</v>
      </c>
      <c r="H55" s="30">
        <f t="shared" si="14"/>
        <v>247500</v>
      </c>
      <c r="I55" s="30">
        <f t="shared" si="15"/>
        <v>396000</v>
      </c>
      <c r="J55" s="30">
        <f t="shared" si="16"/>
        <v>99000</v>
      </c>
    </row>
    <row r="56" ht="14.25" customHeight="1">
      <c r="A56" s="29" t="s">
        <v>58</v>
      </c>
      <c r="B56" s="29" t="s">
        <v>36</v>
      </c>
      <c r="C56" s="29" t="s">
        <v>39</v>
      </c>
      <c r="D56" s="29">
        <v>88.0</v>
      </c>
      <c r="E56" s="29" t="s">
        <v>16</v>
      </c>
      <c r="F56" s="30">
        <v>5720000.0</v>
      </c>
      <c r="G56" s="30">
        <f t="shared" si="13"/>
        <v>1144000</v>
      </c>
      <c r="H56" s="30">
        <f t="shared" si="14"/>
        <v>286000</v>
      </c>
      <c r="I56" s="30">
        <f t="shared" si="15"/>
        <v>457600</v>
      </c>
      <c r="J56" s="30">
        <f t="shared" si="16"/>
        <v>114400</v>
      </c>
    </row>
    <row r="57" ht="14.25" customHeight="1">
      <c r="A57" s="29" t="s">
        <v>59</v>
      </c>
      <c r="B57" s="29" t="s">
        <v>36</v>
      </c>
      <c r="C57" s="29" t="s">
        <v>39</v>
      </c>
      <c r="D57" s="29">
        <v>88.0</v>
      </c>
      <c r="E57" s="29" t="s">
        <v>16</v>
      </c>
      <c r="F57" s="30">
        <v>5720000.0</v>
      </c>
      <c r="G57" s="30">
        <f t="shared" si="13"/>
        <v>1144000</v>
      </c>
      <c r="H57" s="30">
        <f t="shared" si="14"/>
        <v>286000</v>
      </c>
      <c r="I57" s="30">
        <f t="shared" si="15"/>
        <v>457600</v>
      </c>
      <c r="J57" s="30">
        <f t="shared" si="16"/>
        <v>114400</v>
      </c>
    </row>
    <row r="58" ht="14.25" customHeight="1">
      <c r="A58" s="4"/>
      <c r="B58" s="34"/>
      <c r="C58" s="34"/>
      <c r="D58" s="34"/>
      <c r="E58" s="34"/>
      <c r="F58" s="35"/>
      <c r="G58" s="35"/>
      <c r="H58" s="35"/>
      <c r="I58" s="35"/>
      <c r="J58" s="35"/>
    </row>
    <row r="59" ht="14.25" customHeight="1"/>
    <row r="60" ht="14.25" customHeight="1"/>
    <row r="61" ht="14.25" customHeight="1">
      <c r="A61" s="6" t="s">
        <v>60</v>
      </c>
      <c r="B61" s="7"/>
      <c r="C61" s="7"/>
      <c r="D61" s="7"/>
      <c r="E61" s="7"/>
      <c r="F61" s="7"/>
      <c r="G61" s="7"/>
      <c r="H61" s="7"/>
      <c r="I61" s="7"/>
      <c r="J61" s="8"/>
    </row>
    <row r="62" ht="14.2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/>
    <row r="64" ht="14.25" customHeight="1">
      <c r="A64" s="25" t="s">
        <v>42</v>
      </c>
      <c r="B64" s="26"/>
      <c r="C64" s="14"/>
      <c r="D64" s="11"/>
    </row>
    <row r="65" ht="14.25" customHeight="1">
      <c r="A65" s="27" t="s">
        <v>4</v>
      </c>
      <c r="B65" s="27" t="s">
        <v>5</v>
      </c>
      <c r="C65" s="27"/>
      <c r="D65" s="28" t="s">
        <v>6</v>
      </c>
      <c r="E65" s="27" t="s">
        <v>7</v>
      </c>
      <c r="F65" s="27" t="s">
        <v>8</v>
      </c>
      <c r="G65" s="28" t="s">
        <v>9</v>
      </c>
      <c r="H65" s="28" t="s">
        <v>10</v>
      </c>
      <c r="I65" s="28" t="s">
        <v>11</v>
      </c>
      <c r="J65" s="28" t="s">
        <v>12</v>
      </c>
    </row>
    <row r="66" ht="14.25" customHeight="1">
      <c r="A66" s="29" t="s">
        <v>61</v>
      </c>
      <c r="B66" s="29" t="s">
        <v>14</v>
      </c>
      <c r="C66" s="29" t="s">
        <v>15</v>
      </c>
      <c r="D66" s="29">
        <v>56.0</v>
      </c>
      <c r="E66" s="29" t="s">
        <v>23</v>
      </c>
      <c r="F66" s="30">
        <v>2464000.0</v>
      </c>
      <c r="G66" s="30">
        <f>F66*20%</f>
        <v>492800</v>
      </c>
      <c r="H66" s="30">
        <f>(F66*80%)/16</f>
        <v>123200</v>
      </c>
      <c r="I66" s="30">
        <f>F66*8%</f>
        <v>197120</v>
      </c>
      <c r="J66" s="30">
        <f>F66*2%</f>
        <v>49280</v>
      </c>
      <c r="K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29" t="s">
        <v>62</v>
      </c>
      <c r="B67" s="29" t="s">
        <v>14</v>
      </c>
      <c r="C67" s="29" t="s">
        <v>15</v>
      </c>
      <c r="D67" s="29">
        <v>60.0</v>
      </c>
      <c r="E67" s="29" t="s">
        <v>23</v>
      </c>
      <c r="F67" s="30">
        <v>2640000.0</v>
      </c>
      <c r="G67" s="30">
        <v>528000.0</v>
      </c>
      <c r="H67" s="30">
        <v>132000.0</v>
      </c>
      <c r="I67" s="30">
        <v>211200.0</v>
      </c>
      <c r="J67" s="30">
        <v>52800.0</v>
      </c>
      <c r="K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29" t="s">
        <v>63</v>
      </c>
      <c r="B68" s="29" t="s">
        <v>14</v>
      </c>
      <c r="C68" s="29" t="s">
        <v>15</v>
      </c>
      <c r="D68" s="29">
        <v>56.0</v>
      </c>
      <c r="E68" s="29" t="s">
        <v>23</v>
      </c>
      <c r="F68" s="30">
        <v>2464000.0</v>
      </c>
      <c r="G68" s="30">
        <f>F68*20%</f>
        <v>492800</v>
      </c>
      <c r="H68" s="30">
        <f>(F68*80%)/16</f>
        <v>123200</v>
      </c>
      <c r="I68" s="30">
        <f>F68*8%</f>
        <v>197120</v>
      </c>
      <c r="J68" s="30">
        <f>F68*2%</f>
        <v>49280</v>
      </c>
      <c r="K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29" t="s">
        <v>64</v>
      </c>
      <c r="B69" s="29" t="s">
        <v>14</v>
      </c>
      <c r="C69" s="29" t="s">
        <v>15</v>
      </c>
      <c r="D69" s="29">
        <v>60.0</v>
      </c>
      <c r="E69" s="29" t="s">
        <v>23</v>
      </c>
      <c r="F69" s="30">
        <v>2640000.0</v>
      </c>
      <c r="G69" s="30">
        <v>528000.0</v>
      </c>
      <c r="H69" s="30">
        <v>132000.0</v>
      </c>
      <c r="I69" s="30">
        <v>211200.0</v>
      </c>
      <c r="J69" s="30">
        <v>52800.0</v>
      </c>
      <c r="K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29" t="s">
        <v>65</v>
      </c>
      <c r="B70" s="29" t="s">
        <v>14</v>
      </c>
      <c r="C70" s="29" t="s">
        <v>15</v>
      </c>
      <c r="D70" s="29">
        <v>56.0</v>
      </c>
      <c r="E70" s="29" t="s">
        <v>23</v>
      </c>
      <c r="F70" s="30">
        <v>2464000.0</v>
      </c>
      <c r="G70" s="30">
        <f t="shared" ref="G70:G88" si="17">F70*20%</f>
        <v>492800</v>
      </c>
      <c r="H70" s="30">
        <f t="shared" ref="H70:H88" si="18">(F70*80%)/16</f>
        <v>123200</v>
      </c>
      <c r="I70" s="30">
        <f t="shared" ref="I70:I88" si="19">F70*8%</f>
        <v>197120</v>
      </c>
      <c r="J70" s="30">
        <f t="shared" ref="J70:J88" si="20">F70*2%</f>
        <v>49280</v>
      </c>
      <c r="K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29" t="s">
        <v>66</v>
      </c>
      <c r="B71" s="29" t="s">
        <v>14</v>
      </c>
      <c r="C71" s="29" t="s">
        <v>15</v>
      </c>
      <c r="D71" s="29">
        <v>60.0</v>
      </c>
      <c r="E71" s="29" t="s">
        <v>67</v>
      </c>
      <c r="F71" s="30">
        <v>2970000.0</v>
      </c>
      <c r="G71" s="30">
        <f t="shared" si="17"/>
        <v>594000</v>
      </c>
      <c r="H71" s="30">
        <f t="shared" si="18"/>
        <v>148500</v>
      </c>
      <c r="I71" s="30">
        <f t="shared" si="19"/>
        <v>237600</v>
      </c>
      <c r="J71" s="30">
        <f t="shared" si="20"/>
        <v>59400</v>
      </c>
      <c r="K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29" t="s">
        <v>68</v>
      </c>
      <c r="B72" s="29" t="s">
        <v>14</v>
      </c>
      <c r="C72" s="29" t="s">
        <v>15</v>
      </c>
      <c r="D72" s="36">
        <v>55.0</v>
      </c>
      <c r="E72" s="29" t="s">
        <v>67</v>
      </c>
      <c r="F72" s="30">
        <v>3025000.0</v>
      </c>
      <c r="G72" s="30">
        <f t="shared" si="17"/>
        <v>605000</v>
      </c>
      <c r="H72" s="30">
        <f t="shared" si="18"/>
        <v>151250</v>
      </c>
      <c r="I72" s="30">
        <f t="shared" si="19"/>
        <v>242000</v>
      </c>
      <c r="J72" s="30">
        <f t="shared" si="20"/>
        <v>60500</v>
      </c>
    </row>
    <row r="73" ht="14.25" customHeight="1">
      <c r="A73" s="29" t="s">
        <v>69</v>
      </c>
      <c r="B73" s="29" t="s">
        <v>14</v>
      </c>
      <c r="C73" s="29" t="s">
        <v>15</v>
      </c>
      <c r="D73" s="29">
        <v>58.0</v>
      </c>
      <c r="E73" s="29" t="s">
        <v>70</v>
      </c>
      <c r="F73" s="30">
        <v>3190000.0</v>
      </c>
      <c r="G73" s="30">
        <f t="shared" si="17"/>
        <v>638000</v>
      </c>
      <c r="H73" s="30">
        <f t="shared" si="18"/>
        <v>159500</v>
      </c>
      <c r="I73" s="30">
        <f t="shared" si="19"/>
        <v>255200</v>
      </c>
      <c r="J73" s="30">
        <f t="shared" si="20"/>
        <v>63800</v>
      </c>
    </row>
    <row r="74" ht="14.25" customHeight="1">
      <c r="A74" s="29" t="s">
        <v>71</v>
      </c>
      <c r="B74" s="29" t="s">
        <v>14</v>
      </c>
      <c r="C74" s="29" t="s">
        <v>15</v>
      </c>
      <c r="D74" s="29">
        <v>59.0</v>
      </c>
      <c r="E74" s="29" t="s">
        <v>70</v>
      </c>
      <c r="F74" s="30">
        <v>3245000.0</v>
      </c>
      <c r="G74" s="30">
        <f t="shared" si="17"/>
        <v>649000</v>
      </c>
      <c r="H74" s="30">
        <f t="shared" si="18"/>
        <v>162250</v>
      </c>
      <c r="I74" s="30">
        <f t="shared" si="19"/>
        <v>259600</v>
      </c>
      <c r="J74" s="30">
        <f t="shared" si="20"/>
        <v>64900</v>
      </c>
    </row>
    <row r="75" ht="14.25" customHeight="1">
      <c r="A75" s="29" t="s">
        <v>72</v>
      </c>
      <c r="B75" s="29" t="s">
        <v>14</v>
      </c>
      <c r="C75" s="29" t="s">
        <v>15</v>
      </c>
      <c r="D75" s="29">
        <v>58.0</v>
      </c>
      <c r="E75" s="29" t="s">
        <v>70</v>
      </c>
      <c r="F75" s="30">
        <v>3190000.0</v>
      </c>
      <c r="G75" s="30">
        <f t="shared" si="17"/>
        <v>638000</v>
      </c>
      <c r="H75" s="30">
        <f t="shared" si="18"/>
        <v>159500</v>
      </c>
      <c r="I75" s="30">
        <f t="shared" si="19"/>
        <v>255200</v>
      </c>
      <c r="J75" s="30">
        <f t="shared" si="20"/>
        <v>63800</v>
      </c>
    </row>
    <row r="76" ht="14.25" customHeight="1">
      <c r="A76" s="29" t="s">
        <v>73</v>
      </c>
      <c r="B76" s="29" t="s">
        <v>14</v>
      </c>
      <c r="C76" s="29" t="s">
        <v>15</v>
      </c>
      <c r="D76" s="29">
        <v>59.0</v>
      </c>
      <c r="E76" s="29" t="s">
        <v>67</v>
      </c>
      <c r="F76" s="30">
        <v>3245000.0</v>
      </c>
      <c r="G76" s="30">
        <f t="shared" si="17"/>
        <v>649000</v>
      </c>
      <c r="H76" s="30">
        <f t="shared" si="18"/>
        <v>162250</v>
      </c>
      <c r="I76" s="30">
        <f t="shared" si="19"/>
        <v>259600</v>
      </c>
      <c r="J76" s="30">
        <f t="shared" si="20"/>
        <v>64900</v>
      </c>
    </row>
    <row r="77" ht="14.25" customHeight="1">
      <c r="A77" s="29" t="s">
        <v>74</v>
      </c>
      <c r="B77" s="29" t="s">
        <v>14</v>
      </c>
      <c r="C77" s="29" t="s">
        <v>15</v>
      </c>
      <c r="D77" s="29">
        <v>58.0</v>
      </c>
      <c r="E77" s="29" t="s">
        <v>67</v>
      </c>
      <c r="F77" s="30">
        <v>3190000.0</v>
      </c>
      <c r="G77" s="30">
        <f t="shared" si="17"/>
        <v>638000</v>
      </c>
      <c r="H77" s="30">
        <f t="shared" si="18"/>
        <v>159500</v>
      </c>
      <c r="I77" s="30">
        <f t="shared" si="19"/>
        <v>255200</v>
      </c>
      <c r="J77" s="30">
        <f t="shared" si="20"/>
        <v>63800</v>
      </c>
    </row>
    <row r="78" ht="14.25" customHeight="1">
      <c r="A78" s="29" t="s">
        <v>75</v>
      </c>
      <c r="B78" s="29" t="s">
        <v>14</v>
      </c>
      <c r="C78" s="29" t="s">
        <v>15</v>
      </c>
      <c r="D78" s="29">
        <v>59.0</v>
      </c>
      <c r="E78" s="29" t="s">
        <v>67</v>
      </c>
      <c r="F78" s="30">
        <v>3245000.0</v>
      </c>
      <c r="G78" s="30">
        <f t="shared" si="17"/>
        <v>649000</v>
      </c>
      <c r="H78" s="30">
        <f t="shared" si="18"/>
        <v>162250</v>
      </c>
      <c r="I78" s="30">
        <f t="shared" si="19"/>
        <v>259600</v>
      </c>
      <c r="J78" s="30">
        <f t="shared" si="20"/>
        <v>64900</v>
      </c>
    </row>
    <row r="79" ht="14.25" customHeight="1">
      <c r="A79" s="29" t="s">
        <v>76</v>
      </c>
      <c r="B79" s="29" t="s">
        <v>14</v>
      </c>
      <c r="C79" s="29" t="s">
        <v>15</v>
      </c>
      <c r="D79" s="29">
        <v>59.0</v>
      </c>
      <c r="E79" s="29" t="s">
        <v>77</v>
      </c>
      <c r="F79" s="30">
        <v>3127000.0</v>
      </c>
      <c r="G79" s="30">
        <f t="shared" si="17"/>
        <v>625400</v>
      </c>
      <c r="H79" s="30">
        <f t="shared" si="18"/>
        <v>156350</v>
      </c>
      <c r="I79" s="30">
        <f t="shared" si="19"/>
        <v>250160</v>
      </c>
      <c r="J79" s="30">
        <f t="shared" si="20"/>
        <v>62540</v>
      </c>
    </row>
    <row r="80" ht="14.25" customHeight="1">
      <c r="A80" s="29" t="s">
        <v>78</v>
      </c>
      <c r="B80" s="29" t="s">
        <v>14</v>
      </c>
      <c r="C80" s="29" t="s">
        <v>15</v>
      </c>
      <c r="D80" s="29">
        <v>58.0</v>
      </c>
      <c r="E80" s="29" t="s">
        <v>77</v>
      </c>
      <c r="F80" s="30">
        <v>3074000.0</v>
      </c>
      <c r="G80" s="30">
        <f t="shared" si="17"/>
        <v>614800</v>
      </c>
      <c r="H80" s="30">
        <f t="shared" si="18"/>
        <v>153700</v>
      </c>
      <c r="I80" s="30">
        <f t="shared" si="19"/>
        <v>245920</v>
      </c>
      <c r="J80" s="30">
        <f t="shared" si="20"/>
        <v>61480</v>
      </c>
    </row>
    <row r="81" ht="14.25" customHeight="1">
      <c r="A81" s="29" t="s">
        <v>79</v>
      </c>
      <c r="B81" s="29" t="s">
        <v>14</v>
      </c>
      <c r="C81" s="29" t="s">
        <v>15</v>
      </c>
      <c r="D81" s="29">
        <v>59.0</v>
      </c>
      <c r="E81" s="29" t="s">
        <v>77</v>
      </c>
      <c r="F81" s="30">
        <v>3127000.0</v>
      </c>
      <c r="G81" s="30">
        <f t="shared" si="17"/>
        <v>625400</v>
      </c>
      <c r="H81" s="30">
        <f t="shared" si="18"/>
        <v>156350</v>
      </c>
      <c r="I81" s="30">
        <f t="shared" si="19"/>
        <v>250160</v>
      </c>
      <c r="J81" s="30">
        <f t="shared" si="20"/>
        <v>62540</v>
      </c>
    </row>
    <row r="82" ht="14.25" customHeight="1">
      <c r="A82" s="29" t="s">
        <v>80</v>
      </c>
      <c r="B82" s="29" t="s">
        <v>14</v>
      </c>
      <c r="C82" s="29" t="s">
        <v>15</v>
      </c>
      <c r="D82" s="29">
        <v>58.0</v>
      </c>
      <c r="E82" s="29" t="s">
        <v>77</v>
      </c>
      <c r="F82" s="30">
        <v>3074000.0</v>
      </c>
      <c r="G82" s="30">
        <f t="shared" si="17"/>
        <v>614800</v>
      </c>
      <c r="H82" s="30">
        <f t="shared" si="18"/>
        <v>153700</v>
      </c>
      <c r="I82" s="30">
        <f t="shared" si="19"/>
        <v>245920</v>
      </c>
      <c r="J82" s="30">
        <f t="shared" si="20"/>
        <v>61480</v>
      </c>
    </row>
    <row r="83" ht="14.25" customHeight="1">
      <c r="A83" s="29" t="s">
        <v>81</v>
      </c>
      <c r="B83" s="29" t="s">
        <v>14</v>
      </c>
      <c r="C83" s="29" t="s">
        <v>15</v>
      </c>
      <c r="D83" s="29">
        <v>58.0</v>
      </c>
      <c r="E83" s="29" t="s">
        <v>77</v>
      </c>
      <c r="F83" s="30">
        <v>3074000.0</v>
      </c>
      <c r="G83" s="30">
        <f t="shared" si="17"/>
        <v>614800</v>
      </c>
      <c r="H83" s="30">
        <f t="shared" si="18"/>
        <v>153700</v>
      </c>
      <c r="I83" s="30">
        <f t="shared" si="19"/>
        <v>245920</v>
      </c>
      <c r="J83" s="30">
        <f t="shared" si="20"/>
        <v>61480</v>
      </c>
    </row>
    <row r="84" ht="14.25" customHeight="1">
      <c r="A84" s="29" t="s">
        <v>82</v>
      </c>
      <c r="B84" s="29" t="s">
        <v>14</v>
      </c>
      <c r="C84" s="29" t="s">
        <v>15</v>
      </c>
      <c r="D84" s="29">
        <v>59.0</v>
      </c>
      <c r="E84" s="29" t="s">
        <v>77</v>
      </c>
      <c r="F84" s="30">
        <v>3127000.0</v>
      </c>
      <c r="G84" s="30">
        <f t="shared" si="17"/>
        <v>625400</v>
      </c>
      <c r="H84" s="30">
        <f t="shared" si="18"/>
        <v>156350</v>
      </c>
      <c r="I84" s="30">
        <f t="shared" si="19"/>
        <v>250160</v>
      </c>
      <c r="J84" s="30">
        <f t="shared" si="20"/>
        <v>62540</v>
      </c>
    </row>
    <row r="85" ht="14.25" customHeight="1">
      <c r="A85" s="29" t="s">
        <v>83</v>
      </c>
      <c r="B85" s="29" t="s">
        <v>14</v>
      </c>
      <c r="C85" s="29" t="s">
        <v>15</v>
      </c>
      <c r="D85" s="29">
        <v>58.0</v>
      </c>
      <c r="E85" s="29" t="s">
        <v>77</v>
      </c>
      <c r="F85" s="30">
        <v>3074000.0</v>
      </c>
      <c r="G85" s="30">
        <f t="shared" si="17"/>
        <v>614800</v>
      </c>
      <c r="H85" s="30">
        <f t="shared" si="18"/>
        <v>153700</v>
      </c>
      <c r="I85" s="30">
        <f t="shared" si="19"/>
        <v>245920</v>
      </c>
      <c r="J85" s="30">
        <f t="shared" si="20"/>
        <v>61480</v>
      </c>
    </row>
    <row r="86" ht="14.25" customHeight="1">
      <c r="A86" s="29" t="s">
        <v>84</v>
      </c>
      <c r="B86" s="29" t="s">
        <v>14</v>
      </c>
      <c r="C86" s="29" t="s">
        <v>15</v>
      </c>
      <c r="D86" s="29">
        <v>59.0</v>
      </c>
      <c r="E86" s="29" t="s">
        <v>77</v>
      </c>
      <c r="F86" s="30">
        <v>3127000.0</v>
      </c>
      <c r="G86" s="30">
        <f t="shared" si="17"/>
        <v>625400</v>
      </c>
      <c r="H86" s="30">
        <f t="shared" si="18"/>
        <v>156350</v>
      </c>
      <c r="I86" s="30">
        <f t="shared" si="19"/>
        <v>250160</v>
      </c>
      <c r="J86" s="30">
        <f t="shared" si="20"/>
        <v>62540</v>
      </c>
    </row>
    <row r="87" ht="14.25" customHeight="1">
      <c r="A87" s="29" t="s">
        <v>85</v>
      </c>
      <c r="B87" s="29" t="s">
        <v>14</v>
      </c>
      <c r="C87" s="29" t="s">
        <v>15</v>
      </c>
      <c r="D87" s="29">
        <v>58.0</v>
      </c>
      <c r="E87" s="29" t="s">
        <v>77</v>
      </c>
      <c r="F87" s="30">
        <v>3074000.0</v>
      </c>
      <c r="G87" s="30">
        <f t="shared" si="17"/>
        <v>614800</v>
      </c>
      <c r="H87" s="30">
        <f t="shared" si="18"/>
        <v>153700</v>
      </c>
      <c r="I87" s="30">
        <f t="shared" si="19"/>
        <v>245920</v>
      </c>
      <c r="J87" s="30">
        <f t="shared" si="20"/>
        <v>61480</v>
      </c>
    </row>
    <row r="88" ht="14.25" customHeight="1">
      <c r="A88" s="29" t="s">
        <v>86</v>
      </c>
      <c r="B88" s="29" t="s">
        <v>28</v>
      </c>
      <c r="C88" s="29" t="s">
        <v>15</v>
      </c>
      <c r="D88" s="29">
        <v>56.0</v>
      </c>
      <c r="E88" s="29" t="s">
        <v>23</v>
      </c>
      <c r="F88" s="30">
        <v>2464000.0</v>
      </c>
      <c r="G88" s="30">
        <f t="shared" si="17"/>
        <v>492800</v>
      </c>
      <c r="H88" s="30">
        <f t="shared" si="18"/>
        <v>123200</v>
      </c>
      <c r="I88" s="30">
        <f t="shared" si="19"/>
        <v>197120</v>
      </c>
      <c r="J88" s="30">
        <f t="shared" si="20"/>
        <v>49280</v>
      </c>
    </row>
    <row r="89" ht="14.25" customHeight="1">
      <c r="A89" s="29" t="s">
        <v>87</v>
      </c>
      <c r="B89" s="29" t="s">
        <v>28</v>
      </c>
      <c r="C89" s="29" t="s">
        <v>15</v>
      </c>
      <c r="D89" s="29">
        <v>60.0</v>
      </c>
      <c r="E89" s="29" t="s">
        <v>23</v>
      </c>
      <c r="F89" s="30">
        <v>2640000.0</v>
      </c>
      <c r="G89" s="30">
        <v>528000.0</v>
      </c>
      <c r="H89" s="30">
        <v>132000.0</v>
      </c>
      <c r="I89" s="30">
        <v>211200.0</v>
      </c>
      <c r="J89" s="30">
        <v>52800.0</v>
      </c>
    </row>
    <row r="90" ht="14.25" customHeight="1">
      <c r="A90" s="29" t="s">
        <v>88</v>
      </c>
      <c r="B90" s="29" t="s">
        <v>28</v>
      </c>
      <c r="C90" s="29" t="s">
        <v>15</v>
      </c>
      <c r="D90" s="29">
        <v>56.0</v>
      </c>
      <c r="E90" s="29" t="s">
        <v>23</v>
      </c>
      <c r="F90" s="30">
        <v>2464000.0</v>
      </c>
      <c r="G90" s="30">
        <f t="shared" ref="G90:G103" si="21">F90*20%</f>
        <v>492800</v>
      </c>
      <c r="H90" s="30">
        <f t="shared" ref="H90:H103" si="22">(F90*80%)/16</f>
        <v>123200</v>
      </c>
      <c r="I90" s="30">
        <f t="shared" ref="I90:I103" si="23">F90*8%</f>
        <v>197120</v>
      </c>
      <c r="J90" s="30">
        <f t="shared" ref="J90:J103" si="24">F90*2%</f>
        <v>49280</v>
      </c>
    </row>
    <row r="91" ht="14.25" customHeight="1">
      <c r="A91" s="29" t="s">
        <v>89</v>
      </c>
      <c r="B91" s="29" t="s">
        <v>28</v>
      </c>
      <c r="C91" s="29" t="s">
        <v>15</v>
      </c>
      <c r="D91" s="29">
        <v>60.0</v>
      </c>
      <c r="E91" s="29" t="s">
        <v>20</v>
      </c>
      <c r="F91" s="30">
        <v>2640000.0</v>
      </c>
      <c r="G91" s="30">
        <f t="shared" si="21"/>
        <v>528000</v>
      </c>
      <c r="H91" s="30">
        <f t="shared" si="22"/>
        <v>132000</v>
      </c>
      <c r="I91" s="30">
        <f t="shared" si="23"/>
        <v>211200</v>
      </c>
      <c r="J91" s="30">
        <f t="shared" si="24"/>
        <v>52800</v>
      </c>
    </row>
    <row r="92" ht="14.25" customHeight="1">
      <c r="A92" s="29" t="s">
        <v>90</v>
      </c>
      <c r="B92" s="29" t="s">
        <v>28</v>
      </c>
      <c r="C92" s="29" t="s">
        <v>15</v>
      </c>
      <c r="D92" s="29">
        <v>56.0</v>
      </c>
      <c r="E92" s="29" t="s">
        <v>23</v>
      </c>
      <c r="F92" s="30">
        <v>2464000.0</v>
      </c>
      <c r="G92" s="30">
        <f t="shared" si="21"/>
        <v>492800</v>
      </c>
      <c r="H92" s="30">
        <f t="shared" si="22"/>
        <v>123200</v>
      </c>
      <c r="I92" s="30">
        <f t="shared" si="23"/>
        <v>197120</v>
      </c>
      <c r="J92" s="30">
        <f t="shared" si="24"/>
        <v>49280</v>
      </c>
    </row>
    <row r="93" ht="14.25" customHeight="1">
      <c r="A93" s="29" t="s">
        <v>91</v>
      </c>
      <c r="B93" s="29" t="s">
        <v>28</v>
      </c>
      <c r="C93" s="29" t="s">
        <v>15</v>
      </c>
      <c r="D93" s="29">
        <v>60.0</v>
      </c>
      <c r="E93" s="29" t="s">
        <v>67</v>
      </c>
      <c r="F93" s="30">
        <v>2970000.0</v>
      </c>
      <c r="G93" s="30">
        <f t="shared" si="21"/>
        <v>594000</v>
      </c>
      <c r="H93" s="30">
        <f t="shared" si="22"/>
        <v>148500</v>
      </c>
      <c r="I93" s="30">
        <f t="shared" si="23"/>
        <v>237600</v>
      </c>
      <c r="J93" s="30">
        <f t="shared" si="24"/>
        <v>59400</v>
      </c>
    </row>
    <row r="94" ht="14.25" customHeight="1">
      <c r="A94" s="29" t="s">
        <v>92</v>
      </c>
      <c r="B94" s="29" t="s">
        <v>28</v>
      </c>
      <c r="C94" s="29" t="s">
        <v>15</v>
      </c>
      <c r="D94" s="29">
        <v>59.0</v>
      </c>
      <c r="E94" s="29" t="s">
        <v>77</v>
      </c>
      <c r="F94" s="30">
        <v>3127000.0</v>
      </c>
      <c r="G94" s="30">
        <f t="shared" si="21"/>
        <v>625400</v>
      </c>
      <c r="H94" s="30">
        <f t="shared" si="22"/>
        <v>156350</v>
      </c>
      <c r="I94" s="30">
        <f t="shared" si="23"/>
        <v>250160</v>
      </c>
      <c r="J94" s="30">
        <f t="shared" si="24"/>
        <v>62540</v>
      </c>
    </row>
    <row r="95" ht="14.25" customHeight="1">
      <c r="A95" s="29" t="s">
        <v>93</v>
      </c>
      <c r="B95" s="29" t="s">
        <v>28</v>
      </c>
      <c r="C95" s="29" t="s">
        <v>15</v>
      </c>
      <c r="D95" s="29">
        <v>58.0</v>
      </c>
      <c r="E95" s="29" t="s">
        <v>77</v>
      </c>
      <c r="F95" s="30">
        <v>3074000.0</v>
      </c>
      <c r="G95" s="30">
        <f t="shared" si="21"/>
        <v>614800</v>
      </c>
      <c r="H95" s="30">
        <f t="shared" si="22"/>
        <v>153700</v>
      </c>
      <c r="I95" s="30">
        <f t="shared" si="23"/>
        <v>245920</v>
      </c>
      <c r="J95" s="30">
        <f t="shared" si="24"/>
        <v>61480</v>
      </c>
    </row>
    <row r="96" ht="15.0" customHeight="1">
      <c r="A96" s="29" t="s">
        <v>94</v>
      </c>
      <c r="B96" s="29" t="s">
        <v>28</v>
      </c>
      <c r="C96" s="29" t="s">
        <v>15</v>
      </c>
      <c r="D96" s="37">
        <v>59.0</v>
      </c>
      <c r="E96" s="29" t="s">
        <v>77</v>
      </c>
      <c r="F96" s="30">
        <v>3127000.0</v>
      </c>
      <c r="G96" s="30">
        <f t="shared" si="21"/>
        <v>625400</v>
      </c>
      <c r="H96" s="30">
        <f t="shared" si="22"/>
        <v>156350</v>
      </c>
      <c r="I96" s="30">
        <f t="shared" si="23"/>
        <v>250160</v>
      </c>
      <c r="J96" s="30">
        <f t="shared" si="24"/>
        <v>62540</v>
      </c>
    </row>
    <row r="97" ht="14.25" customHeight="1">
      <c r="A97" s="29" t="s">
        <v>95</v>
      </c>
      <c r="B97" s="29" t="s">
        <v>28</v>
      </c>
      <c r="C97" s="29" t="s">
        <v>15</v>
      </c>
      <c r="D97" s="29">
        <v>58.0</v>
      </c>
      <c r="E97" s="29" t="s">
        <v>77</v>
      </c>
      <c r="F97" s="30">
        <v>3074000.0</v>
      </c>
      <c r="G97" s="30">
        <f t="shared" si="21"/>
        <v>614800</v>
      </c>
      <c r="H97" s="30">
        <f t="shared" si="22"/>
        <v>153700</v>
      </c>
      <c r="I97" s="30">
        <f t="shared" si="23"/>
        <v>245920</v>
      </c>
      <c r="J97" s="30">
        <f t="shared" si="24"/>
        <v>61480</v>
      </c>
    </row>
    <row r="98" ht="14.25" customHeight="1">
      <c r="A98" s="29" t="s">
        <v>96</v>
      </c>
      <c r="B98" s="29" t="s">
        <v>28</v>
      </c>
      <c r="C98" s="29" t="s">
        <v>15</v>
      </c>
      <c r="D98" s="29">
        <v>58.0</v>
      </c>
      <c r="E98" s="29" t="s">
        <v>77</v>
      </c>
      <c r="F98" s="30">
        <v>3074000.0</v>
      </c>
      <c r="G98" s="30">
        <f t="shared" si="21"/>
        <v>614800</v>
      </c>
      <c r="H98" s="30">
        <f t="shared" si="22"/>
        <v>153700</v>
      </c>
      <c r="I98" s="30">
        <f t="shared" si="23"/>
        <v>245920</v>
      </c>
      <c r="J98" s="30">
        <f t="shared" si="24"/>
        <v>61480</v>
      </c>
    </row>
    <row r="99" ht="14.25" customHeight="1">
      <c r="A99" s="29" t="s">
        <v>97</v>
      </c>
      <c r="B99" s="29" t="s">
        <v>28</v>
      </c>
      <c r="C99" s="29" t="s">
        <v>15</v>
      </c>
      <c r="D99" s="29">
        <v>58.0</v>
      </c>
      <c r="E99" s="29" t="s">
        <v>77</v>
      </c>
      <c r="F99" s="30">
        <v>3074000.0</v>
      </c>
      <c r="G99" s="30">
        <f t="shared" si="21"/>
        <v>614800</v>
      </c>
      <c r="H99" s="30">
        <f t="shared" si="22"/>
        <v>153700</v>
      </c>
      <c r="I99" s="30">
        <f t="shared" si="23"/>
        <v>245920</v>
      </c>
      <c r="J99" s="30">
        <f t="shared" si="24"/>
        <v>61480</v>
      </c>
    </row>
    <row r="100" ht="14.25" customHeight="1">
      <c r="A100" s="29" t="s">
        <v>98</v>
      </c>
      <c r="B100" s="29" t="s">
        <v>28</v>
      </c>
      <c r="C100" s="29" t="s">
        <v>15</v>
      </c>
      <c r="D100" s="37">
        <v>59.0</v>
      </c>
      <c r="E100" s="29" t="s">
        <v>77</v>
      </c>
      <c r="F100" s="30">
        <v>3127000.0</v>
      </c>
      <c r="G100" s="30">
        <f t="shared" si="21"/>
        <v>625400</v>
      </c>
      <c r="H100" s="30">
        <f t="shared" si="22"/>
        <v>156350</v>
      </c>
      <c r="I100" s="30">
        <f t="shared" si="23"/>
        <v>250160</v>
      </c>
      <c r="J100" s="30">
        <f t="shared" si="24"/>
        <v>62540</v>
      </c>
    </row>
    <row r="101" ht="14.25" customHeight="1">
      <c r="A101" s="29" t="s">
        <v>99</v>
      </c>
      <c r="B101" s="29" t="s">
        <v>28</v>
      </c>
      <c r="C101" s="29" t="s">
        <v>15</v>
      </c>
      <c r="D101" s="29">
        <v>58.0</v>
      </c>
      <c r="E101" s="29" t="s">
        <v>77</v>
      </c>
      <c r="F101" s="30">
        <v>3074000.0</v>
      </c>
      <c r="G101" s="30">
        <f t="shared" si="21"/>
        <v>614800</v>
      </c>
      <c r="H101" s="30">
        <f t="shared" si="22"/>
        <v>153700</v>
      </c>
      <c r="I101" s="30">
        <f t="shared" si="23"/>
        <v>245920</v>
      </c>
      <c r="J101" s="30">
        <f t="shared" si="24"/>
        <v>61480</v>
      </c>
    </row>
    <row r="102" ht="14.25" customHeight="1">
      <c r="A102" s="29" t="s">
        <v>100</v>
      </c>
      <c r="B102" s="29" t="s">
        <v>34</v>
      </c>
      <c r="C102" s="29" t="s">
        <v>15</v>
      </c>
      <c r="D102" s="29">
        <v>56.0</v>
      </c>
      <c r="E102" s="29" t="s">
        <v>23</v>
      </c>
      <c r="F102" s="30">
        <v>2464000.0</v>
      </c>
      <c r="G102" s="30">
        <f t="shared" si="21"/>
        <v>492800</v>
      </c>
      <c r="H102" s="30">
        <f t="shared" si="22"/>
        <v>123200</v>
      </c>
      <c r="I102" s="30">
        <f t="shared" si="23"/>
        <v>197120</v>
      </c>
      <c r="J102" s="30">
        <f t="shared" si="24"/>
        <v>49280</v>
      </c>
    </row>
    <row r="103" ht="14.25" customHeight="1">
      <c r="A103" s="29" t="s">
        <v>101</v>
      </c>
      <c r="B103" s="29" t="s">
        <v>34</v>
      </c>
      <c r="C103" s="29" t="s">
        <v>15</v>
      </c>
      <c r="D103" s="29">
        <v>56.0</v>
      </c>
      <c r="E103" s="29" t="s">
        <v>23</v>
      </c>
      <c r="F103" s="30">
        <v>2464000.0</v>
      </c>
      <c r="G103" s="30">
        <f t="shared" si="21"/>
        <v>492800</v>
      </c>
      <c r="H103" s="30">
        <f t="shared" si="22"/>
        <v>123200</v>
      </c>
      <c r="I103" s="30">
        <f t="shared" si="23"/>
        <v>197120</v>
      </c>
      <c r="J103" s="30">
        <f t="shared" si="24"/>
        <v>49280</v>
      </c>
    </row>
    <row r="104" ht="14.25" customHeight="1">
      <c r="A104" s="29" t="s">
        <v>102</v>
      </c>
      <c r="B104" s="29" t="s">
        <v>34</v>
      </c>
      <c r="C104" s="29" t="s">
        <v>15</v>
      </c>
      <c r="D104" s="29">
        <v>60.0</v>
      </c>
      <c r="E104" s="29" t="s">
        <v>23</v>
      </c>
      <c r="F104" s="30">
        <v>2640000.0</v>
      </c>
      <c r="G104" s="30">
        <v>528000.0</v>
      </c>
      <c r="H104" s="30">
        <v>132000.0</v>
      </c>
      <c r="I104" s="30">
        <v>211200.0</v>
      </c>
      <c r="J104" s="30">
        <v>52800.0</v>
      </c>
    </row>
    <row r="105" ht="14.25" customHeight="1">
      <c r="A105" s="29" t="s">
        <v>103</v>
      </c>
      <c r="B105" s="29" t="s">
        <v>34</v>
      </c>
      <c r="C105" s="29" t="s">
        <v>15</v>
      </c>
      <c r="D105" s="29">
        <v>56.0</v>
      </c>
      <c r="E105" s="29" t="s">
        <v>23</v>
      </c>
      <c r="F105" s="30">
        <v>2464000.0</v>
      </c>
      <c r="G105" s="30">
        <f t="shared" ref="G105:G112" si="25">F105*20%</f>
        <v>492800</v>
      </c>
      <c r="H105" s="30">
        <f t="shared" ref="H105:H112" si="26">(F105*80%)/16</f>
        <v>123200</v>
      </c>
      <c r="I105" s="30">
        <f t="shared" ref="I105:I112" si="27">F105*8%</f>
        <v>197120</v>
      </c>
      <c r="J105" s="30">
        <f t="shared" ref="J105:J112" si="28">F105*2%</f>
        <v>49280</v>
      </c>
    </row>
    <row r="106" ht="14.25" customHeight="1">
      <c r="A106" s="29" t="s">
        <v>104</v>
      </c>
      <c r="B106" s="29" t="s">
        <v>34</v>
      </c>
      <c r="C106" s="29" t="s">
        <v>15</v>
      </c>
      <c r="D106" s="29">
        <v>60.0</v>
      </c>
      <c r="E106" s="29" t="s">
        <v>67</v>
      </c>
      <c r="F106" s="30">
        <v>2970000.0</v>
      </c>
      <c r="G106" s="30">
        <f t="shared" si="25"/>
        <v>594000</v>
      </c>
      <c r="H106" s="30">
        <f t="shared" si="26"/>
        <v>148500</v>
      </c>
      <c r="I106" s="30">
        <f t="shared" si="27"/>
        <v>237600</v>
      </c>
      <c r="J106" s="30">
        <f t="shared" si="28"/>
        <v>59400</v>
      </c>
    </row>
    <row r="107" ht="14.25" customHeight="1">
      <c r="A107" s="29" t="s">
        <v>105</v>
      </c>
      <c r="B107" s="29" t="s">
        <v>34</v>
      </c>
      <c r="C107" s="29" t="s">
        <v>15</v>
      </c>
      <c r="D107" s="29">
        <v>58.0</v>
      </c>
      <c r="E107" s="29" t="s">
        <v>77</v>
      </c>
      <c r="F107" s="30">
        <v>3074000.0</v>
      </c>
      <c r="G107" s="30">
        <f t="shared" si="25"/>
        <v>614800</v>
      </c>
      <c r="H107" s="30">
        <f t="shared" si="26"/>
        <v>153700</v>
      </c>
      <c r="I107" s="30">
        <f t="shared" si="27"/>
        <v>245920</v>
      </c>
      <c r="J107" s="30">
        <f t="shared" si="28"/>
        <v>61480</v>
      </c>
    </row>
    <row r="108" ht="14.25" customHeight="1">
      <c r="A108" s="29" t="s">
        <v>106</v>
      </c>
      <c r="B108" s="29" t="s">
        <v>34</v>
      </c>
      <c r="C108" s="29" t="s">
        <v>15</v>
      </c>
      <c r="D108" s="37">
        <v>59.0</v>
      </c>
      <c r="E108" s="29" t="s">
        <v>77</v>
      </c>
      <c r="F108" s="30">
        <v>3127000.0</v>
      </c>
      <c r="G108" s="30">
        <f t="shared" si="25"/>
        <v>625400</v>
      </c>
      <c r="H108" s="30">
        <f t="shared" si="26"/>
        <v>156350</v>
      </c>
      <c r="I108" s="30">
        <f t="shared" si="27"/>
        <v>250160</v>
      </c>
      <c r="J108" s="30">
        <f t="shared" si="28"/>
        <v>62540</v>
      </c>
    </row>
    <row r="109" ht="14.25" customHeight="1">
      <c r="A109" s="29" t="s">
        <v>107</v>
      </c>
      <c r="B109" s="29" t="s">
        <v>34</v>
      </c>
      <c r="C109" s="29" t="s">
        <v>15</v>
      </c>
      <c r="D109" s="29">
        <v>58.0</v>
      </c>
      <c r="E109" s="29" t="s">
        <v>77</v>
      </c>
      <c r="F109" s="30">
        <v>3074000.0</v>
      </c>
      <c r="G109" s="30">
        <f t="shared" si="25"/>
        <v>614800</v>
      </c>
      <c r="H109" s="30">
        <f t="shared" si="26"/>
        <v>153700</v>
      </c>
      <c r="I109" s="30">
        <f t="shared" si="27"/>
        <v>245920</v>
      </c>
      <c r="J109" s="30">
        <f t="shared" si="28"/>
        <v>61480</v>
      </c>
    </row>
    <row r="110" ht="14.25" customHeight="1">
      <c r="A110" s="29" t="s">
        <v>108</v>
      </c>
      <c r="B110" s="29" t="s">
        <v>36</v>
      </c>
      <c r="C110" s="29" t="s">
        <v>15</v>
      </c>
      <c r="D110" s="29">
        <v>58.0</v>
      </c>
      <c r="E110" s="29" t="s">
        <v>77</v>
      </c>
      <c r="F110" s="30">
        <v>3074000.0</v>
      </c>
      <c r="G110" s="30">
        <f t="shared" si="25"/>
        <v>614800</v>
      </c>
      <c r="H110" s="30">
        <f t="shared" si="26"/>
        <v>153700</v>
      </c>
      <c r="I110" s="30">
        <f t="shared" si="27"/>
        <v>245920</v>
      </c>
      <c r="J110" s="30">
        <f t="shared" si="28"/>
        <v>61480</v>
      </c>
    </row>
    <row r="111" ht="14.25" customHeight="1">
      <c r="A111" s="29" t="s">
        <v>109</v>
      </c>
      <c r="B111" s="29" t="s">
        <v>36</v>
      </c>
      <c r="C111" s="29" t="s">
        <v>15</v>
      </c>
      <c r="D111" s="37">
        <v>59.0</v>
      </c>
      <c r="E111" s="29" t="s">
        <v>77</v>
      </c>
      <c r="F111" s="30">
        <v>3127000.0</v>
      </c>
      <c r="G111" s="30">
        <f t="shared" si="25"/>
        <v>625400</v>
      </c>
      <c r="H111" s="30">
        <f t="shared" si="26"/>
        <v>156350</v>
      </c>
      <c r="I111" s="30">
        <f t="shared" si="27"/>
        <v>250160</v>
      </c>
      <c r="J111" s="30">
        <f t="shared" si="28"/>
        <v>62540</v>
      </c>
    </row>
    <row r="112" ht="14.25" customHeight="1">
      <c r="A112" s="29" t="s">
        <v>110</v>
      </c>
      <c r="B112" s="29" t="s">
        <v>36</v>
      </c>
      <c r="C112" s="29" t="s">
        <v>15</v>
      </c>
      <c r="D112" s="29">
        <v>58.0</v>
      </c>
      <c r="E112" s="29" t="s">
        <v>77</v>
      </c>
      <c r="F112" s="30">
        <v>3074000.0</v>
      </c>
      <c r="G112" s="30">
        <f t="shared" si="25"/>
        <v>614800</v>
      </c>
      <c r="H112" s="30">
        <f t="shared" si="26"/>
        <v>153700</v>
      </c>
      <c r="I112" s="30">
        <f t="shared" si="27"/>
        <v>245920</v>
      </c>
      <c r="J112" s="30">
        <f t="shared" si="28"/>
        <v>61480</v>
      </c>
    </row>
    <row r="114" ht="14.25" customHeight="1"/>
    <row r="115" ht="14.25" customHeight="1">
      <c r="A115" s="22" t="s">
        <v>37</v>
      </c>
      <c r="B115" s="7"/>
      <c r="C115" s="7"/>
      <c r="D115" s="8"/>
    </row>
    <row r="116" ht="14.25" customHeight="1">
      <c r="A116" s="27" t="s">
        <v>4</v>
      </c>
      <c r="B116" s="27" t="s">
        <v>5</v>
      </c>
      <c r="C116" s="27"/>
      <c r="D116" s="28" t="s">
        <v>6</v>
      </c>
      <c r="E116" s="27" t="s">
        <v>7</v>
      </c>
      <c r="F116" s="27" t="s">
        <v>8</v>
      </c>
      <c r="G116" s="28" t="s">
        <v>9</v>
      </c>
      <c r="H116" s="28" t="s">
        <v>10</v>
      </c>
      <c r="I116" s="28" t="s">
        <v>11</v>
      </c>
      <c r="J116" s="28" t="s">
        <v>12</v>
      </c>
    </row>
    <row r="117" ht="14.25" customHeight="1">
      <c r="A117" s="29" t="s">
        <v>111</v>
      </c>
      <c r="B117" s="29" t="s">
        <v>14</v>
      </c>
      <c r="C117" s="29" t="s">
        <v>39</v>
      </c>
      <c r="D117" s="29">
        <v>76.0</v>
      </c>
      <c r="E117" s="29" t="s">
        <v>77</v>
      </c>
      <c r="F117" s="30">
        <v>4028000.0</v>
      </c>
      <c r="G117" s="30">
        <f t="shared" ref="G117:G124" si="29">F117*20%</f>
        <v>805600</v>
      </c>
      <c r="H117" s="30">
        <f t="shared" ref="H117:H124" si="30">(F117*80%)/16</f>
        <v>201400</v>
      </c>
      <c r="I117" s="30">
        <f t="shared" ref="I117:I124" si="31">F117*8%</f>
        <v>322240</v>
      </c>
      <c r="J117" s="30">
        <f t="shared" ref="J117:J124" si="32">F117*2%</f>
        <v>80560</v>
      </c>
    </row>
    <row r="118" ht="14.25" customHeight="1">
      <c r="A118" s="29" t="s">
        <v>112</v>
      </c>
      <c r="B118" s="29" t="s">
        <v>14</v>
      </c>
      <c r="C118" s="29" t="s">
        <v>39</v>
      </c>
      <c r="D118" s="29">
        <v>75.0</v>
      </c>
      <c r="E118" s="29" t="s">
        <v>77</v>
      </c>
      <c r="F118" s="30">
        <v>3975000.0</v>
      </c>
      <c r="G118" s="30">
        <f t="shared" si="29"/>
        <v>795000</v>
      </c>
      <c r="H118" s="30">
        <f t="shared" si="30"/>
        <v>198750</v>
      </c>
      <c r="I118" s="30">
        <f t="shared" si="31"/>
        <v>318000</v>
      </c>
      <c r="J118" s="30">
        <f t="shared" si="32"/>
        <v>79500</v>
      </c>
    </row>
    <row r="119" ht="14.25" customHeight="1">
      <c r="A119" s="29" t="s">
        <v>113</v>
      </c>
      <c r="B119" s="29" t="s">
        <v>28</v>
      </c>
      <c r="C119" s="29" t="s">
        <v>39</v>
      </c>
      <c r="D119" s="29">
        <v>75.0</v>
      </c>
      <c r="E119" s="29" t="s">
        <v>77</v>
      </c>
      <c r="F119" s="30">
        <v>3975000.0</v>
      </c>
      <c r="G119" s="30">
        <f t="shared" si="29"/>
        <v>795000</v>
      </c>
      <c r="H119" s="30">
        <f t="shared" si="30"/>
        <v>198750</v>
      </c>
      <c r="I119" s="30">
        <f t="shared" si="31"/>
        <v>318000</v>
      </c>
      <c r="J119" s="30">
        <f t="shared" si="32"/>
        <v>79500</v>
      </c>
    </row>
    <row r="120" ht="14.25" customHeight="1">
      <c r="A120" s="29" t="s">
        <v>114</v>
      </c>
      <c r="B120" s="29" t="s">
        <v>28</v>
      </c>
      <c r="C120" s="29" t="s">
        <v>39</v>
      </c>
      <c r="D120" s="29">
        <v>92.0</v>
      </c>
      <c r="E120" s="29" t="s">
        <v>77</v>
      </c>
      <c r="F120" s="30">
        <v>4876000.0</v>
      </c>
      <c r="G120" s="30">
        <f t="shared" si="29"/>
        <v>975200</v>
      </c>
      <c r="H120" s="30">
        <f t="shared" si="30"/>
        <v>243800</v>
      </c>
      <c r="I120" s="30">
        <f t="shared" si="31"/>
        <v>390080</v>
      </c>
      <c r="J120" s="30">
        <f t="shared" si="32"/>
        <v>97520</v>
      </c>
    </row>
    <row r="121" ht="14.25" customHeight="1">
      <c r="A121" s="29" t="s">
        <v>115</v>
      </c>
      <c r="B121" s="29" t="s">
        <v>34</v>
      </c>
      <c r="C121" s="29" t="s">
        <v>39</v>
      </c>
      <c r="D121" s="29">
        <v>75.0</v>
      </c>
      <c r="E121" s="29" t="s">
        <v>77</v>
      </c>
      <c r="F121" s="30">
        <v>3975000.0</v>
      </c>
      <c r="G121" s="30">
        <f t="shared" si="29"/>
        <v>795000</v>
      </c>
      <c r="H121" s="30">
        <f t="shared" si="30"/>
        <v>198750</v>
      </c>
      <c r="I121" s="30">
        <f t="shared" si="31"/>
        <v>318000</v>
      </c>
      <c r="J121" s="30">
        <f t="shared" si="32"/>
        <v>79500</v>
      </c>
    </row>
    <row r="122" ht="14.25" customHeight="1">
      <c r="A122" s="29" t="s">
        <v>116</v>
      </c>
      <c r="B122" s="29" t="s">
        <v>34</v>
      </c>
      <c r="C122" s="29" t="s">
        <v>39</v>
      </c>
      <c r="D122" s="29">
        <v>92.0</v>
      </c>
      <c r="E122" s="29" t="s">
        <v>77</v>
      </c>
      <c r="F122" s="30">
        <v>4876000.0</v>
      </c>
      <c r="G122" s="30">
        <f t="shared" si="29"/>
        <v>975200</v>
      </c>
      <c r="H122" s="30">
        <f t="shared" si="30"/>
        <v>243800</v>
      </c>
      <c r="I122" s="30">
        <f t="shared" si="31"/>
        <v>390080</v>
      </c>
      <c r="J122" s="30">
        <f t="shared" si="32"/>
        <v>97520</v>
      </c>
    </row>
    <row r="123" ht="14.25" customHeight="1">
      <c r="A123" s="29" t="s">
        <v>117</v>
      </c>
      <c r="B123" s="29" t="s">
        <v>36</v>
      </c>
      <c r="C123" s="29" t="s">
        <v>39</v>
      </c>
      <c r="D123" s="29">
        <v>75.0</v>
      </c>
      <c r="E123" s="29" t="s">
        <v>77</v>
      </c>
      <c r="F123" s="30">
        <v>3975000.0</v>
      </c>
      <c r="G123" s="30">
        <f t="shared" si="29"/>
        <v>795000</v>
      </c>
      <c r="H123" s="30">
        <f t="shared" si="30"/>
        <v>198750</v>
      </c>
      <c r="I123" s="30">
        <f t="shared" si="31"/>
        <v>318000</v>
      </c>
      <c r="J123" s="30">
        <f t="shared" si="32"/>
        <v>79500</v>
      </c>
    </row>
    <row r="124" ht="14.25" customHeight="1">
      <c r="A124" s="29" t="s">
        <v>118</v>
      </c>
      <c r="B124" s="29" t="s">
        <v>36</v>
      </c>
      <c r="C124" s="29" t="s">
        <v>39</v>
      </c>
      <c r="D124" s="29">
        <v>92.0</v>
      </c>
      <c r="E124" s="29" t="s">
        <v>77</v>
      </c>
      <c r="F124" s="30">
        <v>4876000.0</v>
      </c>
      <c r="G124" s="30">
        <f t="shared" si="29"/>
        <v>975200</v>
      </c>
      <c r="H124" s="30">
        <f t="shared" si="30"/>
        <v>243800</v>
      </c>
      <c r="I124" s="30">
        <f t="shared" si="31"/>
        <v>390080</v>
      </c>
      <c r="J124" s="30">
        <f t="shared" si="32"/>
        <v>97520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mergeCells count="7">
    <mergeCell ref="F3:G3"/>
    <mergeCell ref="A6:J6"/>
    <mergeCell ref="A26:D26"/>
    <mergeCell ref="A33:J33"/>
    <mergeCell ref="A50:D50"/>
    <mergeCell ref="A61:J61"/>
    <mergeCell ref="A115:D115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hp</dc:creator>
</cp:coreProperties>
</file>