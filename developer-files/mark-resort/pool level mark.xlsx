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ol level " sheetId="1" r:id="rId4"/>
  </sheets>
  <definedNames/>
  <calcPr/>
  <extLst>
    <ext uri="GoogleSheetsCustomDataVersion2">
      <go:sheetsCustomData xmlns:go="http://customooxmlschemas.google.com/" r:id="rId5" roundtripDataChecksum="7uekcfGLWAbunC8fP995wJCw0PdPnZeW3uLHNcvl6p8="/>
    </ext>
  </extLst>
</workbook>
</file>

<file path=xl/sharedStrings.xml><?xml version="1.0" encoding="utf-8"?>
<sst xmlns="http://schemas.openxmlformats.org/spreadsheetml/2006/main" count="205" uniqueCount="72">
  <si>
    <t>Mark ResortPrice List</t>
  </si>
  <si>
    <t>Hold</t>
  </si>
  <si>
    <t>Reserved</t>
  </si>
  <si>
    <t>Sold</t>
  </si>
  <si>
    <t>Apt.NO</t>
  </si>
  <si>
    <t>Level</t>
  </si>
  <si>
    <t>Type</t>
  </si>
  <si>
    <t>View</t>
  </si>
  <si>
    <t>Size</t>
  </si>
  <si>
    <t>Price EGP</t>
  </si>
  <si>
    <t>30شهر</t>
  </si>
  <si>
    <t>15% استلام</t>
  </si>
  <si>
    <t>40شهر</t>
  </si>
  <si>
    <t>20% استلام</t>
  </si>
  <si>
    <t>price euro m2</t>
  </si>
  <si>
    <t>price euro</t>
  </si>
  <si>
    <t>GROUND FLOOR</t>
  </si>
  <si>
    <t>G A 1</t>
  </si>
  <si>
    <t>GROUND</t>
  </si>
  <si>
    <t>studio</t>
  </si>
  <si>
    <t>Pool</t>
  </si>
  <si>
    <t>G A 2</t>
  </si>
  <si>
    <t>G A 3</t>
  </si>
  <si>
    <t>TwoBed</t>
  </si>
  <si>
    <t>G A 4</t>
  </si>
  <si>
    <t>G A 5</t>
  </si>
  <si>
    <t>G A 6</t>
  </si>
  <si>
    <t>OneBed</t>
  </si>
  <si>
    <t>G A 7</t>
  </si>
  <si>
    <t>G A 8</t>
  </si>
  <si>
    <t>G A 9</t>
  </si>
  <si>
    <t>G B 1</t>
  </si>
  <si>
    <t>G B 2</t>
  </si>
  <si>
    <t>G B 3</t>
  </si>
  <si>
    <t>G B 4</t>
  </si>
  <si>
    <t>G B 5</t>
  </si>
  <si>
    <t>G B 6</t>
  </si>
  <si>
    <t>G B 7</t>
  </si>
  <si>
    <t>G B 8</t>
  </si>
  <si>
    <t>G B 9</t>
  </si>
  <si>
    <t>G B 10</t>
  </si>
  <si>
    <t>G B 11</t>
  </si>
  <si>
    <t>G B 12</t>
  </si>
  <si>
    <t>G B 13</t>
  </si>
  <si>
    <t>G B 14</t>
  </si>
  <si>
    <t>G B 15</t>
  </si>
  <si>
    <t>G B 16</t>
  </si>
  <si>
    <t>G B 17</t>
  </si>
  <si>
    <t>G C 1</t>
  </si>
  <si>
    <t>G C 2</t>
  </si>
  <si>
    <t>G C 3</t>
  </si>
  <si>
    <t>G C 4</t>
  </si>
  <si>
    <t>G C 5</t>
  </si>
  <si>
    <t>G C 6</t>
  </si>
  <si>
    <t>G C 7</t>
  </si>
  <si>
    <t>G C 8</t>
  </si>
  <si>
    <t>G C 9</t>
  </si>
  <si>
    <t>G C 10</t>
  </si>
  <si>
    <t>G C 11</t>
  </si>
  <si>
    <t>G C 12</t>
  </si>
  <si>
    <t>G C 13</t>
  </si>
  <si>
    <t>G C 14</t>
  </si>
  <si>
    <t>G C 15</t>
  </si>
  <si>
    <t>G C 16</t>
  </si>
  <si>
    <t>G C 17</t>
  </si>
  <si>
    <t>G C 18</t>
  </si>
  <si>
    <t>G C 19</t>
  </si>
  <si>
    <t>G C 20</t>
  </si>
  <si>
    <t>25%downpayment            33 month       (one bedroom)</t>
  </si>
  <si>
    <t>35%downpayment            40 month  (one bedroom)</t>
  </si>
  <si>
    <t>20%downpayment            33 month       (two and three bedroom)</t>
  </si>
  <si>
    <t>30%downpayment            40 month       (two and three bedroom)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</si>
</sst>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20.0"/>
      <color theme="1"/>
      <name val="Calibri"/>
    </font>
    <font/>
    <font>
      <sz val="11.0"/>
      <color theme="1"/>
      <name val="Calibri"/>
    </font>
    <font>
      <b/>
      <sz val="16.0"/>
      <color theme="1"/>
      <name val="Calibri"/>
    </font>
    <font>
      <sz val="10.0"/>
      <color theme="1"/>
      <name val="Calibri"/>
    </font>
    <font>
      <b/>
      <sz val="10.0"/>
      <color theme="1"/>
      <name val="Times New Roman"/>
    </font>
    <font>
      <sz val="16.0"/>
      <color theme="1"/>
      <name val="Calibri"/>
    </font>
    <font>
      <b/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right/>
      <bottom/>
    </border>
    <border>
      <left/>
      <right/>
      <bottom/>
    </border>
    <border>
      <right style="medium">
        <color rgb="FF000000"/>
      </right>
    </border>
    <border>
      <left style="thin">
        <color rgb="FF000000"/>
      </left>
      <top/>
      <bottom/>
    </border>
    <border>
      <top/>
      <bottom/>
    </border>
    <border>
      <left/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shrinkToFit="0" vertical="top" wrapText="1"/>
    </xf>
    <xf borderId="4" fillId="3" fontId="1" numFmtId="0" xfId="0" applyAlignment="1" applyBorder="1" applyFill="1" applyFont="1">
      <alignment horizontal="center" shrinkToFit="0" vertical="top" wrapText="1"/>
    </xf>
    <xf borderId="4" fillId="4" fontId="3" numFmtId="0" xfId="0" applyAlignment="1" applyBorder="1" applyFill="1" applyFont="1">
      <alignment horizontal="center" shrinkToFit="0" vertical="top" wrapText="1"/>
    </xf>
    <xf borderId="4" fillId="5" fontId="3" numFmtId="0" xfId="0" applyAlignment="1" applyBorder="1" applyFill="1" applyFont="1">
      <alignment horizontal="center" shrinkToFit="0" vertical="top" wrapText="1"/>
    </xf>
    <xf borderId="4" fillId="6" fontId="3" numFmtId="0" xfId="0" applyAlignment="1" applyBorder="1" applyFill="1" applyFont="1">
      <alignment horizontal="center" shrinkToFit="0" vertical="top" wrapText="1"/>
    </xf>
    <xf borderId="1" fillId="5" fontId="3" numFmtId="0" xfId="0" applyAlignment="1" applyBorder="1" applyFont="1">
      <alignment horizontal="center" shrinkToFit="0" vertical="top" wrapText="1"/>
    </xf>
    <xf borderId="4" fillId="3" fontId="3" numFmtId="0" xfId="0" applyAlignment="1" applyBorder="1" applyFont="1">
      <alignment horizontal="center" shrinkToFit="0" vertical="top" wrapText="1"/>
    </xf>
    <xf borderId="4" fillId="5" fontId="4" numFmtId="9" xfId="0" applyAlignment="1" applyBorder="1" applyFont="1" applyNumberFormat="1">
      <alignment horizontal="center" shrinkToFit="0" vertical="top" wrapText="1"/>
    </xf>
    <xf borderId="4" fillId="5" fontId="4" numFmtId="9" xfId="0" applyAlignment="1" applyBorder="1" applyFont="1" applyNumberFormat="1">
      <alignment horizontal="center" readingOrder="0" shrinkToFit="0" vertical="top" wrapText="1"/>
    </xf>
    <xf borderId="4" fillId="5" fontId="4" numFmtId="0" xfId="0" applyAlignment="1" applyBorder="1" applyFont="1">
      <alignment horizontal="center" readingOrder="0" shrinkToFit="0" vertical="top" wrapText="1"/>
    </xf>
    <xf borderId="1" fillId="7" fontId="3" numFmtId="0" xfId="0" applyAlignment="1" applyBorder="1" applyFill="1" applyFont="1">
      <alignment horizontal="center" shrinkToFit="0" vertical="top" wrapText="1"/>
    </xf>
    <xf borderId="4" fillId="0" fontId="3" numFmtId="0" xfId="0" applyAlignment="1" applyBorder="1" applyFont="1">
      <alignment horizontal="center" shrinkToFit="0" vertical="top" wrapText="1"/>
    </xf>
    <xf borderId="4" fillId="0" fontId="5" numFmtId="0" xfId="0" applyAlignment="1" applyBorder="1" applyFont="1">
      <alignment horizontal="center" shrinkToFit="0" vertical="top" wrapText="1"/>
    </xf>
    <xf borderId="4" fillId="0" fontId="6" numFmtId="0" xfId="0" applyAlignment="1" applyBorder="1" applyFont="1">
      <alignment horizontal="center" shrinkToFit="0" vertical="top" wrapText="1"/>
    </xf>
    <xf borderId="4" fillId="0" fontId="3" numFmtId="3" xfId="0" applyAlignment="1" applyBorder="1" applyFont="1" applyNumberFormat="1">
      <alignment horizontal="center" shrinkToFit="0" vertical="top" wrapText="1"/>
    </xf>
    <xf borderId="4" fillId="3" fontId="3" numFmtId="3" xfId="0" applyAlignment="1" applyBorder="1" applyFont="1" applyNumberFormat="1">
      <alignment horizontal="center" shrinkToFit="0" vertical="top" wrapText="1"/>
    </xf>
    <xf borderId="4" fillId="8" fontId="3" numFmtId="0" xfId="0" applyAlignment="1" applyBorder="1" applyFill="1" applyFont="1">
      <alignment horizontal="center"/>
    </xf>
    <xf borderId="4" fillId="0" fontId="3" numFmtId="0" xfId="0" applyAlignment="1" applyBorder="1" applyFont="1">
      <alignment horizontal="center"/>
    </xf>
    <xf borderId="4" fillId="5" fontId="5" numFmtId="0" xfId="0" applyAlignment="1" applyBorder="1" applyFont="1">
      <alignment horizontal="center" shrinkToFit="0" vertical="top" wrapText="1"/>
    </xf>
    <xf borderId="4" fillId="5" fontId="6" numFmtId="0" xfId="0" applyAlignment="1" applyBorder="1" applyFont="1">
      <alignment horizontal="center" shrinkToFit="0" vertical="top" wrapText="1"/>
    </xf>
    <xf borderId="4" fillId="5" fontId="3" numFmtId="3" xfId="0" applyAlignment="1" applyBorder="1" applyFont="1" applyNumberFormat="1">
      <alignment horizontal="center" shrinkToFit="0" vertical="top" wrapText="1"/>
    </xf>
    <xf borderId="4" fillId="9" fontId="3" numFmtId="3" xfId="0" applyAlignment="1" applyBorder="1" applyFill="1" applyFont="1" applyNumberFormat="1">
      <alignment horizontal="center" shrinkToFit="0" vertical="top" wrapText="1"/>
    </xf>
    <xf borderId="4" fillId="9" fontId="3" numFmtId="0" xfId="0" applyAlignment="1" applyBorder="1" applyFont="1">
      <alignment horizontal="center"/>
    </xf>
    <xf borderId="4" fillId="5" fontId="3" numFmtId="0" xfId="0" applyAlignment="1" applyBorder="1" applyFont="1">
      <alignment horizontal="center"/>
    </xf>
    <xf borderId="5" fillId="8" fontId="3" numFmtId="0" xfId="0" applyBorder="1" applyFont="1"/>
    <xf borderId="4" fillId="8" fontId="3" numFmtId="0" xfId="0" applyAlignment="1" applyBorder="1" applyFont="1">
      <alignment horizontal="center" shrinkToFit="0" vertical="top" wrapText="1"/>
    </xf>
    <xf borderId="4" fillId="8" fontId="6" numFmtId="0" xfId="0" applyAlignment="1" applyBorder="1" applyFont="1">
      <alignment horizontal="center" shrinkToFit="0" vertical="top" wrapText="1"/>
    </xf>
    <xf borderId="4" fillId="8" fontId="3" numFmtId="3" xfId="0" applyAlignment="1" applyBorder="1" applyFont="1" applyNumberFormat="1">
      <alignment horizontal="center" shrinkToFit="0" vertical="top" wrapText="1"/>
    </xf>
    <xf borderId="6" fillId="8" fontId="3" numFmtId="0" xfId="0" applyBorder="1" applyFont="1"/>
    <xf borderId="4" fillId="6" fontId="6" numFmtId="0" xfId="0" applyAlignment="1" applyBorder="1" applyFont="1">
      <alignment horizontal="center" shrinkToFit="0" vertical="top" wrapText="1"/>
    </xf>
    <xf borderId="4" fillId="6" fontId="3" numFmtId="3" xfId="0" applyAlignment="1" applyBorder="1" applyFont="1" applyNumberFormat="1">
      <alignment horizontal="center" shrinkToFit="0" vertical="top" wrapText="1"/>
    </xf>
    <xf borderId="4" fillId="6" fontId="3" numFmtId="0" xfId="0" applyAlignment="1" applyBorder="1" applyFont="1">
      <alignment horizontal="center"/>
    </xf>
    <xf borderId="5" fillId="10" fontId="3" numFmtId="0" xfId="0" applyBorder="1" applyFill="1" applyFont="1"/>
    <xf borderId="4" fillId="6" fontId="5" numFmtId="0" xfId="0" applyAlignment="1" applyBorder="1" applyFont="1">
      <alignment horizontal="center" shrinkToFit="0" vertical="top" wrapText="1"/>
    </xf>
    <xf borderId="4" fillId="9" fontId="3" numFmtId="0" xfId="0" applyAlignment="1" applyBorder="1" applyFont="1">
      <alignment horizontal="center" shrinkToFit="0" vertical="top" wrapText="1"/>
    </xf>
    <xf borderId="4" fillId="9" fontId="6" numFmtId="0" xfId="0" applyAlignment="1" applyBorder="1" applyFont="1">
      <alignment horizontal="center" shrinkToFit="0" vertical="top" wrapText="1"/>
    </xf>
    <xf borderId="4" fillId="8" fontId="3" numFmtId="0" xfId="0" applyAlignment="1" applyBorder="1" applyFont="1">
      <alignment horizontal="center" readingOrder="0"/>
    </xf>
    <xf borderId="4" fillId="9" fontId="5" numFmtId="0" xfId="0" applyAlignment="1" applyBorder="1" applyFont="1">
      <alignment horizontal="center" shrinkToFit="0" vertical="top" wrapText="1"/>
    </xf>
    <xf borderId="0" fillId="0" fontId="3" numFmtId="0" xfId="0" applyFont="1"/>
    <xf borderId="1" fillId="0" fontId="3" numFmtId="0" xfId="0" applyAlignment="1" applyBorder="1" applyFont="1">
      <alignment horizontal="center" shrinkToFit="0" vertical="top" wrapText="1"/>
    </xf>
    <xf borderId="1" fillId="11" fontId="4" numFmtId="0" xfId="0" applyAlignment="1" applyBorder="1" applyFill="1" applyFont="1">
      <alignment horizontal="center" readingOrder="0" shrinkToFit="0" vertical="top" wrapText="1"/>
    </xf>
    <xf borderId="7" fillId="11" fontId="7" numFmtId="0" xfId="0" applyAlignment="1" applyBorder="1" applyFont="1">
      <alignment horizontal="center" shrinkToFit="0" vertical="top" wrapText="1"/>
    </xf>
    <xf borderId="8" fillId="11" fontId="7" numFmtId="0" xfId="0" applyAlignment="1" applyBorder="1" applyFont="1">
      <alignment horizontal="center" shrinkToFit="0" vertical="top" wrapText="1"/>
    </xf>
    <xf borderId="8" fillId="11" fontId="3" numFmtId="3" xfId="0" applyAlignment="1" applyBorder="1" applyFont="1" applyNumberFormat="1">
      <alignment horizontal="center" shrinkToFit="0" vertical="top" wrapText="1"/>
    </xf>
    <xf borderId="0" fillId="0" fontId="3" numFmtId="3" xfId="0" applyAlignment="1" applyFont="1" applyNumberFormat="1">
      <alignment horizontal="center" shrinkToFit="0" vertical="top" wrapText="1"/>
    </xf>
    <xf borderId="8" fillId="3" fontId="3" numFmtId="3" xfId="0" applyAlignment="1" applyBorder="1" applyFont="1" applyNumberFormat="1">
      <alignment horizontal="center" shrinkToFit="0" vertical="top" wrapText="1"/>
    </xf>
    <xf borderId="9" fillId="0" fontId="3" numFmtId="3" xfId="0" applyAlignment="1" applyBorder="1" applyFont="1" applyNumberFormat="1">
      <alignment horizontal="center" shrinkToFit="0" vertical="top" wrapText="1"/>
    </xf>
    <xf borderId="10" fillId="11" fontId="4" numFmtId="0" xfId="0" applyAlignment="1" applyBorder="1" applyFont="1">
      <alignment horizontal="center" readingOrder="0" shrinkToFit="0" vertical="top" wrapText="1"/>
    </xf>
    <xf borderId="11" fillId="0" fontId="2" numFmtId="0" xfId="0" applyBorder="1" applyFont="1"/>
    <xf borderId="6" fillId="0" fontId="2" numFmtId="0" xfId="0" applyBorder="1" applyFont="1"/>
    <xf borderId="0" fillId="0" fontId="3" numFmtId="0" xfId="0" applyAlignment="1" applyFont="1">
      <alignment horizontal="center" shrinkToFit="0" vertical="top" wrapText="1"/>
    </xf>
    <xf borderId="12" fillId="3" fontId="3" numFmtId="3" xfId="0" applyAlignment="1" applyBorder="1" applyFont="1" applyNumberFormat="1">
      <alignment horizontal="center" shrinkToFit="0" vertical="top" wrapText="1"/>
    </xf>
    <xf borderId="13" fillId="11" fontId="3" numFmtId="0" xfId="0" applyAlignment="1" applyBorder="1" applyFont="1">
      <alignment horizontal="center" shrinkToFit="0" vertical="top" wrapText="1"/>
    </xf>
    <xf borderId="14" fillId="11" fontId="3" numFmtId="0" xfId="0" applyAlignment="1" applyBorder="1" applyFont="1">
      <alignment horizontal="center" shrinkToFit="0" vertical="top" wrapText="1"/>
    </xf>
    <xf borderId="15" fillId="3" fontId="3" numFmtId="3" xfId="0" applyAlignment="1" applyBorder="1" applyFont="1" applyNumberFormat="1">
      <alignment horizontal="center" shrinkToFit="0" vertical="top" wrapText="1"/>
    </xf>
    <xf borderId="12" fillId="3" fontId="3" numFmtId="0" xfId="0" applyAlignment="1" applyBorder="1" applyFont="1">
      <alignment horizontal="center" shrinkToFit="0" vertical="top" wrapText="1"/>
    </xf>
    <xf borderId="12" fillId="3" fontId="3" numFmtId="0" xfId="0" applyBorder="1" applyFont="1"/>
    <xf borderId="12" fillId="3" fontId="7" numFmtId="0" xfId="0" applyAlignment="1" applyBorder="1" applyFont="1">
      <alignment shrinkToFit="0" vertical="top" wrapText="1"/>
    </xf>
    <xf borderId="14" fillId="3" fontId="3" numFmtId="0" xfId="0" applyAlignment="1" applyBorder="1" applyFont="1">
      <alignment shrinkToFit="0" vertical="top" wrapText="1"/>
    </xf>
    <xf borderId="16" fillId="0" fontId="8" numFmtId="0" xfId="0" applyAlignment="1" applyBorder="1" applyFont="1">
      <alignment horizontal="center" shrinkToFit="0" vertical="top" wrapText="1"/>
    </xf>
    <xf borderId="9" fillId="0" fontId="2" numFmtId="0" xfId="0" applyBorder="1" applyFont="1"/>
    <xf borderId="17" fillId="0" fontId="3" numFmtId="3" xfId="0" applyAlignment="1" applyBorder="1" applyFont="1" applyNumberFormat="1">
      <alignment horizontal="center" shrinkToFit="0" vertical="top" wrapText="1"/>
    </xf>
    <xf borderId="15" fillId="3" fontId="3" numFmtId="0" xfId="0" applyAlignment="1" applyBorder="1" applyFont="1">
      <alignment horizontal="center" shrinkToFit="0" vertical="top" wrapText="1"/>
    </xf>
    <xf borderId="18" fillId="0" fontId="3" numFmtId="3" xfId="0" applyAlignment="1" applyBorder="1" applyFont="1" applyNumberForma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5" width="8.71"/>
    <col customWidth="1" min="6" max="6" width="0.43"/>
    <col customWidth="1" min="7" max="11" width="8.71"/>
    <col customWidth="1" min="12" max="12" width="40.71"/>
    <col customWidth="1" hidden="1" min="13" max="15" width="17.29"/>
    <col customWidth="1" hidden="1" min="16" max="16" width="6.86"/>
    <col customWidth="1" hidden="1" min="17" max="19" width="17.29"/>
    <col customWidth="1" hidden="1" min="20" max="21" width="8.71"/>
    <col customWidth="1" min="22" max="25" width="8.71"/>
  </cols>
  <sheetData>
    <row r="1" ht="33.0" customHeight="1">
      <c r="G1" s="1" t="s">
        <v>0</v>
      </c>
      <c r="H1" s="2"/>
      <c r="I1" s="2"/>
      <c r="J1" s="2"/>
      <c r="K1" s="2"/>
      <c r="L1" s="3"/>
      <c r="M1" s="4"/>
      <c r="N1" s="4"/>
      <c r="O1" s="4"/>
      <c r="P1" s="5"/>
      <c r="Q1" s="4"/>
      <c r="R1" s="4"/>
      <c r="S1" s="4"/>
      <c r="T1" s="1"/>
      <c r="U1" s="3"/>
    </row>
    <row r="2" ht="14.25" customHeight="1">
      <c r="G2" s="6" t="s">
        <v>1</v>
      </c>
      <c r="H2" s="7" t="s">
        <v>2</v>
      </c>
      <c r="I2" s="8" t="s">
        <v>3</v>
      </c>
      <c r="J2" s="9"/>
      <c r="K2" s="3"/>
      <c r="L2" s="7"/>
      <c r="M2" s="7"/>
      <c r="N2" s="7"/>
      <c r="O2" s="7"/>
      <c r="P2" s="10"/>
      <c r="Q2" s="7"/>
      <c r="R2" s="7"/>
      <c r="S2" s="7"/>
      <c r="T2" s="7"/>
      <c r="U2" s="7"/>
    </row>
    <row r="3" ht="14.25" customHeight="1">
      <c r="G3" s="7" t="s">
        <v>4</v>
      </c>
      <c r="H3" s="7" t="s">
        <v>5</v>
      </c>
      <c r="I3" s="7" t="s">
        <v>6</v>
      </c>
      <c r="J3" s="7" t="s">
        <v>7</v>
      </c>
      <c r="K3" s="7" t="s">
        <v>8</v>
      </c>
      <c r="L3" s="7" t="s">
        <v>9</v>
      </c>
      <c r="M3" s="11">
        <v>0.25</v>
      </c>
      <c r="N3" s="12" t="s">
        <v>10</v>
      </c>
      <c r="O3" s="13" t="s">
        <v>11</v>
      </c>
      <c r="P3" s="10"/>
      <c r="Q3" s="11">
        <v>0.3</v>
      </c>
      <c r="R3" s="13" t="s">
        <v>12</v>
      </c>
      <c r="S3" s="13" t="s">
        <v>13</v>
      </c>
      <c r="T3" s="7" t="s">
        <v>14</v>
      </c>
      <c r="U3" s="7" t="s">
        <v>15</v>
      </c>
    </row>
    <row r="4" ht="24.0" customHeight="1">
      <c r="G4" s="14" t="s">
        <v>16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3"/>
    </row>
    <row r="5" ht="14.25" customHeight="1">
      <c r="G5" s="15" t="s">
        <v>17</v>
      </c>
      <c r="H5" s="15" t="s">
        <v>18</v>
      </c>
      <c r="I5" s="16" t="s">
        <v>19</v>
      </c>
      <c r="J5" s="15" t="s">
        <v>20</v>
      </c>
      <c r="K5" s="17">
        <v>43.0</v>
      </c>
      <c r="L5" s="18">
        <f t="shared" ref="L5:L13" si="1">U5*60</f>
        <v>2838000</v>
      </c>
      <c r="M5" s="18">
        <f t="shared" ref="M5:M13" si="2">L5*25%</f>
        <v>709500</v>
      </c>
      <c r="N5" s="18">
        <f t="shared" ref="N5:N13" si="3">SUM(L5-M5-O5)/30</f>
        <v>56760</v>
      </c>
      <c r="O5" s="18">
        <f t="shared" ref="O5:O13" si="4">L5*15%</f>
        <v>425700</v>
      </c>
      <c r="P5" s="19"/>
      <c r="Q5" s="18">
        <f t="shared" ref="Q5:Q13" si="5">L5*30%</f>
        <v>851400</v>
      </c>
      <c r="R5" s="18">
        <f t="shared" ref="R5:R13" si="6">SUM(L5-Q5-S5)/40</f>
        <v>35475</v>
      </c>
      <c r="S5" s="18">
        <f t="shared" ref="S5:S13" si="7">L5*20%</f>
        <v>567600</v>
      </c>
      <c r="T5" s="20">
        <v>1100.0</v>
      </c>
      <c r="U5" s="21">
        <f t="shared" ref="U5:U13" si="8">K5*T5</f>
        <v>47300</v>
      </c>
    </row>
    <row r="6" ht="14.25" customHeight="1">
      <c r="G6" s="15" t="s">
        <v>21</v>
      </c>
      <c r="H6" s="15" t="s">
        <v>18</v>
      </c>
      <c r="I6" s="16" t="s">
        <v>19</v>
      </c>
      <c r="J6" s="15" t="s">
        <v>20</v>
      </c>
      <c r="K6" s="17">
        <v>40.0</v>
      </c>
      <c r="L6" s="18">
        <f t="shared" si="1"/>
        <v>2400000</v>
      </c>
      <c r="M6" s="18">
        <f t="shared" si="2"/>
        <v>600000</v>
      </c>
      <c r="N6" s="18">
        <f t="shared" si="3"/>
        <v>48000</v>
      </c>
      <c r="O6" s="18">
        <f t="shared" si="4"/>
        <v>360000</v>
      </c>
      <c r="P6" s="19"/>
      <c r="Q6" s="18">
        <f t="shared" si="5"/>
        <v>720000</v>
      </c>
      <c r="R6" s="18">
        <f t="shared" si="6"/>
        <v>30000</v>
      </c>
      <c r="S6" s="18">
        <f t="shared" si="7"/>
        <v>480000</v>
      </c>
      <c r="T6" s="21">
        <v>1000.0</v>
      </c>
      <c r="U6" s="21">
        <f t="shared" si="8"/>
        <v>40000</v>
      </c>
    </row>
    <row r="7" ht="14.25" customHeight="1">
      <c r="G7" s="15" t="s">
        <v>22</v>
      </c>
      <c r="H7" s="15" t="s">
        <v>18</v>
      </c>
      <c r="I7" s="15" t="s">
        <v>23</v>
      </c>
      <c r="J7" s="15" t="s">
        <v>20</v>
      </c>
      <c r="K7" s="17">
        <v>77.0</v>
      </c>
      <c r="L7" s="18">
        <f t="shared" si="1"/>
        <v>4204200</v>
      </c>
      <c r="M7" s="18">
        <f t="shared" si="2"/>
        <v>1051050</v>
      </c>
      <c r="N7" s="18">
        <f t="shared" si="3"/>
        <v>84084</v>
      </c>
      <c r="O7" s="18">
        <f t="shared" si="4"/>
        <v>630630</v>
      </c>
      <c r="P7" s="19"/>
      <c r="Q7" s="18">
        <f t="shared" si="5"/>
        <v>1261260</v>
      </c>
      <c r="R7" s="18">
        <f t="shared" si="6"/>
        <v>52552.5</v>
      </c>
      <c r="S7" s="18">
        <f t="shared" si="7"/>
        <v>840840</v>
      </c>
      <c r="T7" s="21">
        <v>910.0</v>
      </c>
      <c r="U7" s="21">
        <f t="shared" si="8"/>
        <v>70070</v>
      </c>
    </row>
    <row r="8" ht="14.25" customHeight="1">
      <c r="G8" s="15" t="s">
        <v>24</v>
      </c>
      <c r="H8" s="15" t="s">
        <v>18</v>
      </c>
      <c r="I8" s="16" t="s">
        <v>19</v>
      </c>
      <c r="J8" s="15" t="s">
        <v>20</v>
      </c>
      <c r="K8" s="17">
        <v>37.0</v>
      </c>
      <c r="L8" s="18">
        <f t="shared" si="1"/>
        <v>2442000</v>
      </c>
      <c r="M8" s="18">
        <f t="shared" si="2"/>
        <v>610500</v>
      </c>
      <c r="N8" s="18">
        <f t="shared" si="3"/>
        <v>48840</v>
      </c>
      <c r="O8" s="18">
        <f t="shared" si="4"/>
        <v>366300</v>
      </c>
      <c r="P8" s="19"/>
      <c r="Q8" s="18">
        <f t="shared" si="5"/>
        <v>732600</v>
      </c>
      <c r="R8" s="18">
        <f t="shared" si="6"/>
        <v>30525</v>
      </c>
      <c r="S8" s="18">
        <f t="shared" si="7"/>
        <v>488400</v>
      </c>
      <c r="T8" s="20">
        <v>1100.0</v>
      </c>
      <c r="U8" s="21">
        <f t="shared" si="8"/>
        <v>40700</v>
      </c>
    </row>
    <row r="9" ht="14.25" customHeight="1">
      <c r="G9" s="15" t="s">
        <v>25</v>
      </c>
      <c r="H9" s="15" t="s">
        <v>18</v>
      </c>
      <c r="I9" s="15" t="s">
        <v>23</v>
      </c>
      <c r="J9" s="15" t="s">
        <v>20</v>
      </c>
      <c r="K9" s="17">
        <v>85.0</v>
      </c>
      <c r="L9" s="18">
        <f t="shared" si="1"/>
        <v>4462500</v>
      </c>
      <c r="M9" s="18">
        <f t="shared" si="2"/>
        <v>1115625</v>
      </c>
      <c r="N9" s="18">
        <f t="shared" si="3"/>
        <v>89250</v>
      </c>
      <c r="O9" s="18">
        <f t="shared" si="4"/>
        <v>669375</v>
      </c>
      <c r="P9" s="19"/>
      <c r="Q9" s="18">
        <f t="shared" si="5"/>
        <v>1338750</v>
      </c>
      <c r="R9" s="18">
        <f t="shared" si="6"/>
        <v>55781.25</v>
      </c>
      <c r="S9" s="18">
        <f t="shared" si="7"/>
        <v>892500</v>
      </c>
      <c r="T9" s="21">
        <v>875.0</v>
      </c>
      <c r="U9" s="21">
        <f t="shared" si="8"/>
        <v>74375</v>
      </c>
    </row>
    <row r="10" ht="14.25" customHeight="1">
      <c r="G10" s="15" t="s">
        <v>26</v>
      </c>
      <c r="H10" s="15" t="s">
        <v>18</v>
      </c>
      <c r="I10" s="15" t="s">
        <v>27</v>
      </c>
      <c r="J10" s="15" t="s">
        <v>20</v>
      </c>
      <c r="K10" s="17">
        <v>54.0</v>
      </c>
      <c r="L10" s="18">
        <f t="shared" si="1"/>
        <v>3240000</v>
      </c>
      <c r="M10" s="18">
        <f t="shared" si="2"/>
        <v>810000</v>
      </c>
      <c r="N10" s="18">
        <f t="shared" si="3"/>
        <v>64800</v>
      </c>
      <c r="O10" s="18">
        <f t="shared" si="4"/>
        <v>486000</v>
      </c>
      <c r="P10" s="19"/>
      <c r="Q10" s="18">
        <f t="shared" si="5"/>
        <v>972000</v>
      </c>
      <c r="R10" s="18">
        <f t="shared" si="6"/>
        <v>40500</v>
      </c>
      <c r="S10" s="18">
        <f t="shared" si="7"/>
        <v>648000</v>
      </c>
      <c r="T10" s="21">
        <v>1000.0</v>
      </c>
      <c r="U10" s="21">
        <f t="shared" si="8"/>
        <v>54000</v>
      </c>
    </row>
    <row r="11" ht="14.25" customHeight="1">
      <c r="G11" s="15" t="s">
        <v>28</v>
      </c>
      <c r="H11" s="15" t="s">
        <v>18</v>
      </c>
      <c r="I11" s="16" t="s">
        <v>19</v>
      </c>
      <c r="J11" s="15" t="s">
        <v>20</v>
      </c>
      <c r="K11" s="17">
        <v>31.0</v>
      </c>
      <c r="L11" s="18">
        <f t="shared" si="1"/>
        <v>2046000</v>
      </c>
      <c r="M11" s="18">
        <f t="shared" si="2"/>
        <v>511500</v>
      </c>
      <c r="N11" s="18">
        <f t="shared" si="3"/>
        <v>40920</v>
      </c>
      <c r="O11" s="18">
        <f t="shared" si="4"/>
        <v>306900</v>
      </c>
      <c r="P11" s="19"/>
      <c r="Q11" s="18">
        <f t="shared" si="5"/>
        <v>613800</v>
      </c>
      <c r="R11" s="18">
        <f t="shared" si="6"/>
        <v>25575</v>
      </c>
      <c r="S11" s="18">
        <f t="shared" si="7"/>
        <v>409200</v>
      </c>
      <c r="T11" s="20">
        <v>1100.0</v>
      </c>
      <c r="U11" s="21">
        <f t="shared" si="8"/>
        <v>34100</v>
      </c>
    </row>
    <row r="12" ht="14.25" customHeight="1">
      <c r="G12" s="7" t="s">
        <v>29</v>
      </c>
      <c r="H12" s="7" t="s">
        <v>18</v>
      </c>
      <c r="I12" s="22" t="s">
        <v>19</v>
      </c>
      <c r="J12" s="7" t="s">
        <v>20</v>
      </c>
      <c r="K12" s="23">
        <v>30.0</v>
      </c>
      <c r="L12" s="24">
        <f t="shared" si="1"/>
        <v>1980000</v>
      </c>
      <c r="M12" s="25">
        <f t="shared" si="2"/>
        <v>495000</v>
      </c>
      <c r="N12" s="25">
        <f t="shared" si="3"/>
        <v>39600</v>
      </c>
      <c r="O12" s="25">
        <f t="shared" si="4"/>
        <v>297000</v>
      </c>
      <c r="P12" s="25"/>
      <c r="Q12" s="25">
        <f t="shared" si="5"/>
        <v>594000</v>
      </c>
      <c r="R12" s="25">
        <f t="shared" si="6"/>
        <v>24750</v>
      </c>
      <c r="S12" s="25">
        <f t="shared" si="7"/>
        <v>396000</v>
      </c>
      <c r="T12" s="26">
        <v>1100.0</v>
      </c>
      <c r="U12" s="26">
        <f t="shared" si="8"/>
        <v>33000</v>
      </c>
    </row>
    <row r="13" ht="14.25" customHeight="1">
      <c r="G13" s="15" t="s">
        <v>30</v>
      </c>
      <c r="H13" s="15" t="s">
        <v>18</v>
      </c>
      <c r="I13" s="15" t="s">
        <v>27</v>
      </c>
      <c r="J13" s="15" t="s">
        <v>20</v>
      </c>
      <c r="K13" s="17">
        <v>59.0</v>
      </c>
      <c r="L13" s="18">
        <f t="shared" si="1"/>
        <v>3894000</v>
      </c>
      <c r="M13" s="18">
        <f t="shared" si="2"/>
        <v>973500</v>
      </c>
      <c r="N13" s="18">
        <f t="shared" si="3"/>
        <v>77880</v>
      </c>
      <c r="O13" s="18">
        <f t="shared" si="4"/>
        <v>584100</v>
      </c>
      <c r="P13" s="19"/>
      <c r="Q13" s="18">
        <f t="shared" si="5"/>
        <v>1168200</v>
      </c>
      <c r="R13" s="18">
        <f t="shared" si="6"/>
        <v>48675</v>
      </c>
      <c r="S13" s="18">
        <f t="shared" si="7"/>
        <v>778800</v>
      </c>
      <c r="T13" s="20">
        <v>1100.0</v>
      </c>
      <c r="U13" s="21">
        <f t="shared" si="8"/>
        <v>64900</v>
      </c>
    </row>
    <row r="14" ht="14.25" customHeight="1">
      <c r="G14" s="7"/>
      <c r="H14" s="7"/>
      <c r="I14" s="7"/>
      <c r="J14" s="7"/>
      <c r="K14" s="23"/>
      <c r="L14" s="24"/>
      <c r="M14" s="24"/>
      <c r="N14" s="24"/>
      <c r="O14" s="24"/>
      <c r="P14" s="24"/>
      <c r="Q14" s="24"/>
      <c r="R14" s="24"/>
      <c r="S14" s="24"/>
      <c r="T14" s="27"/>
      <c r="U14" s="27"/>
    </row>
    <row r="15" ht="14.25" customHeight="1">
      <c r="F15" s="28"/>
      <c r="G15" s="15" t="s">
        <v>31</v>
      </c>
      <c r="H15" s="15" t="s">
        <v>18</v>
      </c>
      <c r="I15" s="16" t="s">
        <v>19</v>
      </c>
      <c r="J15" s="29" t="s">
        <v>20</v>
      </c>
      <c r="K15" s="30">
        <v>39.0</v>
      </c>
      <c r="L15" s="18">
        <f t="shared" ref="L15:L25" si="9">U15*60</f>
        <v>2574000</v>
      </c>
      <c r="M15" s="31">
        <f>L15*25%</f>
        <v>643500</v>
      </c>
      <c r="N15" s="31">
        <f>SUM(L15-M15-O15)/30</f>
        <v>51480</v>
      </c>
      <c r="O15" s="31">
        <f>L15*15%</f>
        <v>386100</v>
      </c>
      <c r="P15" s="31"/>
      <c r="Q15" s="31">
        <f>L15*30%</f>
        <v>772200</v>
      </c>
      <c r="R15" s="31">
        <f>SUM(L15-Q15-S15)/40</f>
        <v>32175</v>
      </c>
      <c r="S15" s="31">
        <f>L15*20%</f>
        <v>514800</v>
      </c>
      <c r="T15" s="20">
        <v>1100.0</v>
      </c>
      <c r="U15" s="20">
        <f t="shared" ref="U15:U31" si="10">K15*T15</f>
        <v>42900</v>
      </c>
      <c r="V15" s="32"/>
    </row>
    <row r="16" ht="14.25" customHeight="1">
      <c r="F16" s="28"/>
      <c r="G16" s="15" t="s">
        <v>32</v>
      </c>
      <c r="H16" s="15" t="s">
        <v>18</v>
      </c>
      <c r="I16" s="15" t="s">
        <v>27</v>
      </c>
      <c r="J16" s="29" t="s">
        <v>20</v>
      </c>
      <c r="K16" s="30">
        <v>55.0</v>
      </c>
      <c r="L16" s="18">
        <f t="shared" si="9"/>
        <v>3300000</v>
      </c>
      <c r="M16" s="31"/>
      <c r="N16" s="31"/>
      <c r="O16" s="31"/>
      <c r="P16" s="31"/>
      <c r="Q16" s="31"/>
      <c r="R16" s="31"/>
      <c r="S16" s="31"/>
      <c r="T16" s="20">
        <v>1000.0</v>
      </c>
      <c r="U16" s="20">
        <f t="shared" si="10"/>
        <v>55000</v>
      </c>
      <c r="V16" s="32"/>
    </row>
    <row r="17" ht="14.25" customHeight="1">
      <c r="F17" s="28"/>
      <c r="G17" s="15" t="s">
        <v>33</v>
      </c>
      <c r="H17" s="15" t="s">
        <v>18</v>
      </c>
      <c r="I17" s="29" t="s">
        <v>27</v>
      </c>
      <c r="J17" s="29" t="s">
        <v>20</v>
      </c>
      <c r="K17" s="30">
        <v>46.0</v>
      </c>
      <c r="L17" s="18">
        <f t="shared" si="9"/>
        <v>3036000</v>
      </c>
      <c r="M17" s="31"/>
      <c r="N17" s="31"/>
      <c r="O17" s="31"/>
      <c r="P17" s="31"/>
      <c r="Q17" s="31"/>
      <c r="R17" s="31"/>
      <c r="S17" s="31"/>
      <c r="T17" s="20">
        <v>1100.0</v>
      </c>
      <c r="U17" s="20">
        <f t="shared" si="10"/>
        <v>50600</v>
      </c>
      <c r="V17" s="32"/>
    </row>
    <row r="18" ht="14.25" customHeight="1">
      <c r="F18" s="28"/>
      <c r="G18" s="15" t="s">
        <v>34</v>
      </c>
      <c r="H18" s="15" t="s">
        <v>18</v>
      </c>
      <c r="I18" s="16" t="s">
        <v>19</v>
      </c>
      <c r="J18" s="29" t="s">
        <v>20</v>
      </c>
      <c r="K18" s="30">
        <v>38.0</v>
      </c>
      <c r="L18" s="18">
        <f t="shared" si="9"/>
        <v>2394000</v>
      </c>
      <c r="M18" s="31"/>
      <c r="N18" s="31"/>
      <c r="O18" s="31"/>
      <c r="P18" s="31"/>
      <c r="Q18" s="31"/>
      <c r="R18" s="31"/>
      <c r="S18" s="31"/>
      <c r="T18" s="20">
        <v>1050.0</v>
      </c>
      <c r="U18" s="20">
        <f t="shared" si="10"/>
        <v>39900</v>
      </c>
      <c r="V18" s="32"/>
    </row>
    <row r="19" ht="15.0" customHeight="1">
      <c r="F19" s="28"/>
      <c r="G19" s="15" t="s">
        <v>35</v>
      </c>
      <c r="H19" s="15" t="s">
        <v>18</v>
      </c>
      <c r="I19" s="29" t="s">
        <v>27</v>
      </c>
      <c r="J19" s="29" t="s">
        <v>20</v>
      </c>
      <c r="K19" s="30">
        <v>50.0</v>
      </c>
      <c r="L19" s="18">
        <f t="shared" si="9"/>
        <v>3000000</v>
      </c>
      <c r="M19" s="31"/>
      <c r="N19" s="31"/>
      <c r="O19" s="31"/>
      <c r="P19" s="31"/>
      <c r="Q19" s="31"/>
      <c r="R19" s="31"/>
      <c r="S19" s="31"/>
      <c r="T19" s="20">
        <v>1000.0</v>
      </c>
      <c r="U19" s="20">
        <f t="shared" si="10"/>
        <v>50000</v>
      </c>
      <c r="V19" s="32"/>
    </row>
    <row r="20" ht="15.0" customHeight="1">
      <c r="F20" s="28"/>
      <c r="G20" s="15" t="s">
        <v>36</v>
      </c>
      <c r="H20" s="15" t="s">
        <v>18</v>
      </c>
      <c r="I20" s="15" t="s">
        <v>23</v>
      </c>
      <c r="J20" s="29" t="s">
        <v>20</v>
      </c>
      <c r="K20" s="30">
        <v>85.0</v>
      </c>
      <c r="L20" s="18">
        <f t="shared" si="9"/>
        <v>4462500</v>
      </c>
      <c r="M20" s="31"/>
      <c r="N20" s="31"/>
      <c r="O20" s="31"/>
      <c r="P20" s="31"/>
      <c r="Q20" s="31"/>
      <c r="R20" s="31"/>
      <c r="S20" s="31"/>
      <c r="T20" s="20">
        <v>875.0</v>
      </c>
      <c r="U20" s="20">
        <f t="shared" si="10"/>
        <v>74375</v>
      </c>
      <c r="V20" s="32"/>
    </row>
    <row r="21" ht="15.0" customHeight="1">
      <c r="F21" s="28"/>
      <c r="G21" s="15" t="s">
        <v>37</v>
      </c>
      <c r="H21" s="15" t="s">
        <v>18</v>
      </c>
      <c r="I21" s="29" t="s">
        <v>27</v>
      </c>
      <c r="J21" s="29" t="s">
        <v>20</v>
      </c>
      <c r="K21" s="30">
        <v>59.0</v>
      </c>
      <c r="L21" s="18">
        <f t="shared" si="9"/>
        <v>3363000</v>
      </c>
      <c r="M21" s="31"/>
      <c r="N21" s="31"/>
      <c r="O21" s="31"/>
      <c r="P21" s="31"/>
      <c r="Q21" s="31"/>
      <c r="R21" s="31"/>
      <c r="S21" s="31"/>
      <c r="T21" s="20">
        <v>950.0</v>
      </c>
      <c r="U21" s="20">
        <f t="shared" si="10"/>
        <v>56050</v>
      </c>
      <c r="V21" s="32"/>
    </row>
    <row r="22" ht="15.0" customHeight="1">
      <c r="F22" s="28"/>
      <c r="G22" s="8" t="s">
        <v>38</v>
      </c>
      <c r="H22" s="8" t="s">
        <v>18</v>
      </c>
      <c r="I22" s="8" t="s">
        <v>27</v>
      </c>
      <c r="J22" s="8" t="s">
        <v>20</v>
      </c>
      <c r="K22" s="33">
        <v>45.0</v>
      </c>
      <c r="L22" s="34">
        <f t="shared" si="9"/>
        <v>2700000</v>
      </c>
      <c r="M22" s="34"/>
      <c r="N22" s="34"/>
      <c r="O22" s="34"/>
      <c r="P22" s="34"/>
      <c r="Q22" s="34"/>
      <c r="R22" s="34"/>
      <c r="S22" s="34"/>
      <c r="T22" s="35">
        <v>1000.0</v>
      </c>
      <c r="U22" s="35">
        <f t="shared" si="10"/>
        <v>45000</v>
      </c>
      <c r="V22" s="32"/>
    </row>
    <row r="23" ht="15.0" customHeight="1">
      <c r="F23" s="28"/>
      <c r="G23" s="15" t="s">
        <v>39</v>
      </c>
      <c r="H23" s="15" t="s">
        <v>18</v>
      </c>
      <c r="I23" s="15" t="s">
        <v>23</v>
      </c>
      <c r="J23" s="29" t="s">
        <v>20</v>
      </c>
      <c r="K23" s="30">
        <v>68.0</v>
      </c>
      <c r="L23" s="18">
        <f t="shared" si="9"/>
        <v>3876000</v>
      </c>
      <c r="M23" s="31"/>
      <c r="N23" s="31"/>
      <c r="O23" s="31"/>
      <c r="P23" s="31"/>
      <c r="Q23" s="31"/>
      <c r="R23" s="31"/>
      <c r="S23" s="31"/>
      <c r="T23" s="20">
        <v>950.0</v>
      </c>
      <c r="U23" s="20">
        <f t="shared" si="10"/>
        <v>64600</v>
      </c>
      <c r="V23" s="32"/>
    </row>
    <row r="24" ht="15.0" customHeight="1">
      <c r="F24" s="28"/>
      <c r="G24" s="15" t="s">
        <v>40</v>
      </c>
      <c r="H24" s="15" t="s">
        <v>18</v>
      </c>
      <c r="I24" s="15" t="s">
        <v>23</v>
      </c>
      <c r="J24" s="29" t="s">
        <v>20</v>
      </c>
      <c r="K24" s="30">
        <v>88.0</v>
      </c>
      <c r="L24" s="18">
        <f t="shared" si="9"/>
        <v>4329600</v>
      </c>
      <c r="M24" s="31"/>
      <c r="N24" s="31"/>
      <c r="O24" s="31"/>
      <c r="P24" s="31"/>
      <c r="Q24" s="31"/>
      <c r="R24" s="31"/>
      <c r="S24" s="31"/>
      <c r="T24" s="20">
        <v>820.0</v>
      </c>
      <c r="U24" s="20">
        <f t="shared" si="10"/>
        <v>72160</v>
      </c>
      <c r="V24" s="32"/>
    </row>
    <row r="25" ht="15.0" customHeight="1">
      <c r="F25" s="36"/>
      <c r="G25" s="8" t="s">
        <v>41</v>
      </c>
      <c r="H25" s="8" t="s">
        <v>18</v>
      </c>
      <c r="I25" s="37" t="s">
        <v>19</v>
      </c>
      <c r="J25" s="8" t="s">
        <v>20</v>
      </c>
      <c r="K25" s="33">
        <v>30.0</v>
      </c>
      <c r="L25" s="34">
        <f t="shared" si="9"/>
        <v>1980000</v>
      </c>
      <c r="M25" s="24"/>
      <c r="N25" s="24"/>
      <c r="O25" s="24"/>
      <c r="P25" s="24"/>
      <c r="Q25" s="24"/>
      <c r="R25" s="24"/>
      <c r="S25" s="24"/>
      <c r="T25" s="27">
        <v>1100.0</v>
      </c>
      <c r="U25" s="27">
        <f t="shared" si="10"/>
        <v>33000</v>
      </c>
      <c r="V25" s="32"/>
    </row>
    <row r="26" ht="15.0" customHeight="1">
      <c r="F26" s="28"/>
      <c r="G26" s="38" t="s">
        <v>42</v>
      </c>
      <c r="H26" s="38" t="s">
        <v>18</v>
      </c>
      <c r="I26" s="38" t="s">
        <v>27</v>
      </c>
      <c r="J26" s="38" t="s">
        <v>20</v>
      </c>
      <c r="K26" s="39">
        <v>42.0</v>
      </c>
      <c r="L26" s="25">
        <f>U26*60</f>
        <v>2772000</v>
      </c>
      <c r="M26" s="25"/>
      <c r="N26" s="25"/>
      <c r="O26" s="25"/>
      <c r="P26" s="25"/>
      <c r="Q26" s="25"/>
      <c r="R26" s="25"/>
      <c r="S26" s="25"/>
      <c r="T26" s="26">
        <v>1100.0</v>
      </c>
      <c r="U26" s="26">
        <f t="shared" si="10"/>
        <v>46200</v>
      </c>
      <c r="V26" s="32"/>
    </row>
    <row r="27" ht="15.0" customHeight="1">
      <c r="F27" s="28"/>
      <c r="G27" s="15" t="s">
        <v>43</v>
      </c>
      <c r="H27" s="15" t="s">
        <v>18</v>
      </c>
      <c r="I27" s="29" t="s">
        <v>27</v>
      </c>
      <c r="J27" s="29" t="s">
        <v>20</v>
      </c>
      <c r="K27" s="30">
        <v>55.0</v>
      </c>
      <c r="L27" s="18">
        <f t="shared" ref="L27:L53" si="11">U27*60</f>
        <v>3630000</v>
      </c>
      <c r="M27" s="31"/>
      <c r="N27" s="31"/>
      <c r="O27" s="31"/>
      <c r="P27" s="31"/>
      <c r="Q27" s="31"/>
      <c r="R27" s="31"/>
      <c r="S27" s="31"/>
      <c r="T27" s="40">
        <v>1100.0</v>
      </c>
      <c r="U27" s="20">
        <f t="shared" si="10"/>
        <v>60500</v>
      </c>
      <c r="V27" s="32"/>
    </row>
    <row r="28" ht="15.0" customHeight="1">
      <c r="F28" s="28"/>
      <c r="G28" s="15" t="s">
        <v>44</v>
      </c>
      <c r="H28" s="15" t="s">
        <v>18</v>
      </c>
      <c r="I28" s="29" t="s">
        <v>27</v>
      </c>
      <c r="J28" s="29" t="s">
        <v>20</v>
      </c>
      <c r="K28" s="30">
        <v>55.0</v>
      </c>
      <c r="L28" s="18">
        <f t="shared" si="11"/>
        <v>3630000</v>
      </c>
      <c r="M28" s="31"/>
      <c r="N28" s="31"/>
      <c r="O28" s="31"/>
      <c r="P28" s="31"/>
      <c r="Q28" s="31"/>
      <c r="R28" s="31"/>
      <c r="S28" s="31"/>
      <c r="T28" s="40">
        <v>1100.0</v>
      </c>
      <c r="U28" s="20">
        <f t="shared" si="10"/>
        <v>60500</v>
      </c>
      <c r="V28" s="32"/>
    </row>
    <row r="29" ht="15.0" customHeight="1">
      <c r="F29" s="28"/>
      <c r="G29" s="15" t="s">
        <v>45</v>
      </c>
      <c r="H29" s="15" t="s">
        <v>18</v>
      </c>
      <c r="I29" s="16" t="s">
        <v>19</v>
      </c>
      <c r="J29" s="29" t="s">
        <v>20</v>
      </c>
      <c r="K29" s="30">
        <v>38.0</v>
      </c>
      <c r="L29" s="18">
        <f t="shared" si="11"/>
        <v>2394000</v>
      </c>
      <c r="M29" s="31"/>
      <c r="N29" s="31"/>
      <c r="O29" s="31"/>
      <c r="P29" s="31"/>
      <c r="Q29" s="31"/>
      <c r="R29" s="31"/>
      <c r="S29" s="31"/>
      <c r="T29" s="20">
        <v>1050.0</v>
      </c>
      <c r="U29" s="20">
        <f t="shared" si="10"/>
        <v>39900</v>
      </c>
      <c r="V29" s="32"/>
    </row>
    <row r="30" ht="15.0" customHeight="1">
      <c r="F30" s="28"/>
      <c r="G30" s="15" t="s">
        <v>46</v>
      </c>
      <c r="H30" s="15" t="s">
        <v>18</v>
      </c>
      <c r="I30" s="16" t="s">
        <v>19</v>
      </c>
      <c r="J30" s="29" t="s">
        <v>20</v>
      </c>
      <c r="K30" s="30">
        <v>38.0</v>
      </c>
      <c r="L30" s="18">
        <f t="shared" si="11"/>
        <v>2394000</v>
      </c>
      <c r="M30" s="31"/>
      <c r="N30" s="31"/>
      <c r="O30" s="31"/>
      <c r="P30" s="31"/>
      <c r="Q30" s="31"/>
      <c r="R30" s="31"/>
      <c r="S30" s="31"/>
      <c r="T30" s="20">
        <v>1050.0</v>
      </c>
      <c r="U30" s="20">
        <f t="shared" si="10"/>
        <v>39900</v>
      </c>
      <c r="V30" s="32"/>
    </row>
    <row r="31" ht="15.0" customHeight="1">
      <c r="F31" s="28"/>
      <c r="G31" s="15" t="s">
        <v>47</v>
      </c>
      <c r="H31" s="15" t="s">
        <v>18</v>
      </c>
      <c r="I31" s="29" t="s">
        <v>27</v>
      </c>
      <c r="J31" s="29" t="s">
        <v>20</v>
      </c>
      <c r="K31" s="30">
        <v>66.0</v>
      </c>
      <c r="L31" s="18">
        <f t="shared" si="11"/>
        <v>3960000</v>
      </c>
      <c r="M31" s="31"/>
      <c r="N31" s="31"/>
      <c r="O31" s="31"/>
      <c r="P31" s="31"/>
      <c r="Q31" s="31"/>
      <c r="R31" s="31"/>
      <c r="S31" s="31"/>
      <c r="T31" s="20">
        <v>1000.0</v>
      </c>
      <c r="U31" s="20">
        <f t="shared" si="10"/>
        <v>66000</v>
      </c>
      <c r="V31" s="32"/>
    </row>
    <row r="32" ht="15.0" customHeight="1">
      <c r="F32" s="28"/>
      <c r="G32" s="7"/>
      <c r="H32" s="7"/>
      <c r="I32" s="7"/>
      <c r="J32" s="7"/>
      <c r="K32" s="23"/>
      <c r="L32" s="24">
        <f t="shared" si="11"/>
        <v>0</v>
      </c>
      <c r="M32" s="24"/>
      <c r="N32" s="24"/>
      <c r="O32" s="24"/>
      <c r="P32" s="24"/>
      <c r="Q32" s="24"/>
      <c r="R32" s="24"/>
      <c r="S32" s="24"/>
      <c r="T32" s="27"/>
      <c r="U32" s="27"/>
      <c r="V32" s="32"/>
    </row>
    <row r="33" ht="15.0" customHeight="1">
      <c r="F33" s="28"/>
      <c r="G33" s="15" t="s">
        <v>48</v>
      </c>
      <c r="H33" s="15" t="s">
        <v>18</v>
      </c>
      <c r="I33" s="29" t="s">
        <v>27</v>
      </c>
      <c r="J33" s="29" t="s">
        <v>20</v>
      </c>
      <c r="K33" s="30">
        <v>52.0</v>
      </c>
      <c r="L33" s="18">
        <f t="shared" si="11"/>
        <v>3432000</v>
      </c>
      <c r="M33" s="31"/>
      <c r="N33" s="31"/>
      <c r="O33" s="31"/>
      <c r="P33" s="31"/>
      <c r="Q33" s="31"/>
      <c r="R33" s="31"/>
      <c r="S33" s="31"/>
      <c r="T33" s="20">
        <v>1100.0</v>
      </c>
      <c r="U33" s="20">
        <f t="shared" ref="U33:U52" si="12">K33*T33</f>
        <v>57200</v>
      </c>
      <c r="V33" s="32"/>
    </row>
    <row r="34" ht="15.0" customHeight="1">
      <c r="F34" s="28"/>
      <c r="G34" s="15" t="s">
        <v>49</v>
      </c>
      <c r="H34" s="15" t="s">
        <v>18</v>
      </c>
      <c r="I34" s="29" t="s">
        <v>27</v>
      </c>
      <c r="J34" s="29" t="s">
        <v>20</v>
      </c>
      <c r="K34" s="30">
        <v>49.0</v>
      </c>
      <c r="L34" s="18">
        <f t="shared" si="11"/>
        <v>3234000</v>
      </c>
      <c r="M34" s="31"/>
      <c r="N34" s="31"/>
      <c r="O34" s="31"/>
      <c r="P34" s="31"/>
      <c r="Q34" s="31"/>
      <c r="R34" s="31"/>
      <c r="S34" s="31"/>
      <c r="T34" s="20">
        <v>1100.0</v>
      </c>
      <c r="U34" s="20">
        <f t="shared" si="12"/>
        <v>53900</v>
      </c>
      <c r="V34" s="32"/>
    </row>
    <row r="35" ht="15.0" customHeight="1">
      <c r="F35" s="28"/>
      <c r="G35" s="38" t="s">
        <v>50</v>
      </c>
      <c r="H35" s="38" t="s">
        <v>18</v>
      </c>
      <c r="I35" s="41" t="s">
        <v>19</v>
      </c>
      <c r="J35" s="38" t="s">
        <v>20</v>
      </c>
      <c r="K35" s="39">
        <v>31.0</v>
      </c>
      <c r="L35" s="25">
        <f t="shared" si="11"/>
        <v>2046000</v>
      </c>
      <c r="M35" s="25"/>
      <c r="N35" s="25"/>
      <c r="O35" s="25"/>
      <c r="P35" s="25"/>
      <c r="Q35" s="25"/>
      <c r="R35" s="25"/>
      <c r="S35" s="25"/>
      <c r="T35" s="26">
        <v>1100.0</v>
      </c>
      <c r="U35" s="26">
        <f t="shared" si="12"/>
        <v>34100</v>
      </c>
      <c r="V35" s="32"/>
    </row>
    <row r="36" ht="15.0" customHeight="1">
      <c r="F36" s="28"/>
      <c r="G36" s="15" t="s">
        <v>51</v>
      </c>
      <c r="H36" s="15" t="s">
        <v>18</v>
      </c>
      <c r="I36" s="29" t="s">
        <v>27</v>
      </c>
      <c r="J36" s="29" t="s">
        <v>20</v>
      </c>
      <c r="K36" s="30">
        <v>52.0</v>
      </c>
      <c r="L36" s="18">
        <f t="shared" si="11"/>
        <v>3432000</v>
      </c>
      <c r="M36" s="31"/>
      <c r="N36" s="31"/>
      <c r="O36" s="31"/>
      <c r="P36" s="31"/>
      <c r="Q36" s="31"/>
      <c r="R36" s="31"/>
      <c r="S36" s="31"/>
      <c r="T36" s="20">
        <v>1100.0</v>
      </c>
      <c r="U36" s="20">
        <f t="shared" si="12"/>
        <v>57200</v>
      </c>
      <c r="V36" s="32"/>
    </row>
    <row r="37" ht="15.0" customHeight="1">
      <c r="F37" s="28"/>
      <c r="G37" s="38" t="s">
        <v>52</v>
      </c>
      <c r="H37" s="38" t="s">
        <v>18</v>
      </c>
      <c r="I37" s="41" t="s">
        <v>19</v>
      </c>
      <c r="J37" s="38" t="s">
        <v>20</v>
      </c>
      <c r="K37" s="39">
        <v>31.0</v>
      </c>
      <c r="L37" s="25">
        <f t="shared" si="11"/>
        <v>2046000</v>
      </c>
      <c r="M37" s="25"/>
      <c r="N37" s="25"/>
      <c r="O37" s="25"/>
      <c r="P37" s="25"/>
      <c r="Q37" s="25"/>
      <c r="R37" s="25"/>
      <c r="S37" s="25"/>
      <c r="T37" s="26">
        <v>1100.0</v>
      </c>
      <c r="U37" s="26">
        <f t="shared" si="12"/>
        <v>34100</v>
      </c>
      <c r="V37" s="32"/>
    </row>
    <row r="38" ht="15.0" customHeight="1">
      <c r="F38" s="28"/>
      <c r="G38" s="8" t="s">
        <v>53</v>
      </c>
      <c r="H38" s="8" t="s">
        <v>18</v>
      </c>
      <c r="I38" s="8" t="s">
        <v>27</v>
      </c>
      <c r="J38" s="8" t="s">
        <v>20</v>
      </c>
      <c r="K38" s="33">
        <v>43.0</v>
      </c>
      <c r="L38" s="34">
        <f t="shared" si="11"/>
        <v>2838000</v>
      </c>
      <c r="M38" s="34"/>
      <c r="N38" s="34"/>
      <c r="O38" s="34"/>
      <c r="P38" s="34"/>
      <c r="Q38" s="34"/>
      <c r="R38" s="34"/>
      <c r="S38" s="34"/>
      <c r="T38" s="35">
        <v>1100.0</v>
      </c>
      <c r="U38" s="35">
        <f t="shared" si="12"/>
        <v>47300</v>
      </c>
      <c r="V38" s="32"/>
    </row>
    <row r="39" ht="15.0" customHeight="1">
      <c r="F39" s="28"/>
      <c r="G39" s="15" t="s">
        <v>54</v>
      </c>
      <c r="H39" s="15" t="s">
        <v>18</v>
      </c>
      <c r="I39" s="16" t="s">
        <v>19</v>
      </c>
      <c r="J39" s="29" t="s">
        <v>20</v>
      </c>
      <c r="K39" s="30">
        <v>34.0</v>
      </c>
      <c r="L39" s="18">
        <f t="shared" si="11"/>
        <v>2244000</v>
      </c>
      <c r="M39" s="31"/>
      <c r="N39" s="31"/>
      <c r="O39" s="31"/>
      <c r="P39" s="31"/>
      <c r="Q39" s="31"/>
      <c r="R39" s="31"/>
      <c r="S39" s="31"/>
      <c r="T39" s="20">
        <v>1100.0</v>
      </c>
      <c r="U39" s="20">
        <f t="shared" si="12"/>
        <v>37400</v>
      </c>
      <c r="V39" s="32"/>
    </row>
    <row r="40" ht="15.0" customHeight="1">
      <c r="F40" s="28"/>
      <c r="G40" s="15" t="s">
        <v>55</v>
      </c>
      <c r="H40" s="15" t="s">
        <v>18</v>
      </c>
      <c r="I40" s="15" t="s">
        <v>23</v>
      </c>
      <c r="J40" s="29" t="s">
        <v>20</v>
      </c>
      <c r="K40" s="30">
        <v>88.0</v>
      </c>
      <c r="L40" s="18">
        <f t="shared" si="11"/>
        <v>4514400</v>
      </c>
      <c r="M40" s="31"/>
      <c r="N40" s="31"/>
      <c r="O40" s="31"/>
      <c r="P40" s="31"/>
      <c r="Q40" s="31"/>
      <c r="R40" s="31"/>
      <c r="S40" s="31"/>
      <c r="T40" s="20">
        <v>855.0</v>
      </c>
      <c r="U40" s="20">
        <f t="shared" si="12"/>
        <v>75240</v>
      </c>
      <c r="V40" s="32"/>
    </row>
    <row r="41" ht="15.0" customHeight="1">
      <c r="F41" s="28"/>
      <c r="G41" s="15" t="s">
        <v>56</v>
      </c>
      <c r="H41" s="15" t="s">
        <v>18</v>
      </c>
      <c r="I41" s="29" t="s">
        <v>27</v>
      </c>
      <c r="J41" s="29" t="s">
        <v>20</v>
      </c>
      <c r="K41" s="30">
        <v>65.0</v>
      </c>
      <c r="L41" s="18">
        <f t="shared" si="11"/>
        <v>3744000</v>
      </c>
      <c r="M41" s="31"/>
      <c r="N41" s="31"/>
      <c r="O41" s="31"/>
      <c r="P41" s="31"/>
      <c r="Q41" s="31"/>
      <c r="R41" s="31"/>
      <c r="S41" s="31"/>
      <c r="T41" s="20">
        <v>960.0</v>
      </c>
      <c r="U41" s="20">
        <f t="shared" si="12"/>
        <v>62400</v>
      </c>
      <c r="V41" s="32"/>
    </row>
    <row r="42" ht="15.0" customHeight="1">
      <c r="F42" s="28"/>
      <c r="G42" s="15" t="s">
        <v>57</v>
      </c>
      <c r="H42" s="15" t="s">
        <v>18</v>
      </c>
      <c r="I42" s="29" t="s">
        <v>27</v>
      </c>
      <c r="J42" s="29" t="s">
        <v>20</v>
      </c>
      <c r="K42" s="30">
        <v>58.0</v>
      </c>
      <c r="L42" s="18">
        <f t="shared" si="11"/>
        <v>3828000</v>
      </c>
      <c r="M42" s="31"/>
      <c r="N42" s="31"/>
      <c r="O42" s="31"/>
      <c r="P42" s="31"/>
      <c r="Q42" s="31"/>
      <c r="R42" s="31"/>
      <c r="S42" s="31"/>
      <c r="T42" s="40">
        <v>1100.0</v>
      </c>
      <c r="U42" s="20">
        <f t="shared" si="12"/>
        <v>63800</v>
      </c>
      <c r="V42" s="32"/>
    </row>
    <row r="43" ht="15.0" customHeight="1">
      <c r="F43" s="28"/>
      <c r="G43" s="15" t="s">
        <v>58</v>
      </c>
      <c r="H43" s="15" t="s">
        <v>18</v>
      </c>
      <c r="I43" s="29" t="s">
        <v>27</v>
      </c>
      <c r="J43" s="29" t="s">
        <v>20</v>
      </c>
      <c r="K43" s="30">
        <v>79.0</v>
      </c>
      <c r="L43" s="18">
        <f t="shared" si="11"/>
        <v>3886800</v>
      </c>
      <c r="M43" s="31"/>
      <c r="N43" s="31"/>
      <c r="O43" s="31"/>
      <c r="P43" s="31"/>
      <c r="Q43" s="31"/>
      <c r="R43" s="31"/>
      <c r="S43" s="31"/>
      <c r="T43" s="20">
        <v>820.0</v>
      </c>
      <c r="U43" s="20">
        <f t="shared" si="12"/>
        <v>64780</v>
      </c>
      <c r="V43" s="32"/>
    </row>
    <row r="44" ht="15.0" customHeight="1">
      <c r="F44" s="28"/>
      <c r="G44" s="15" t="s">
        <v>59</v>
      </c>
      <c r="H44" s="15" t="s">
        <v>18</v>
      </c>
      <c r="I44" s="29" t="s">
        <v>27</v>
      </c>
      <c r="J44" s="29" t="s">
        <v>20</v>
      </c>
      <c r="K44" s="30">
        <v>69.0</v>
      </c>
      <c r="L44" s="18">
        <f t="shared" si="11"/>
        <v>3767400</v>
      </c>
      <c r="M44" s="31"/>
      <c r="N44" s="31"/>
      <c r="O44" s="31"/>
      <c r="P44" s="31"/>
      <c r="Q44" s="31"/>
      <c r="R44" s="31"/>
      <c r="S44" s="31"/>
      <c r="T44" s="20">
        <v>910.0</v>
      </c>
      <c r="U44" s="20">
        <f t="shared" si="12"/>
        <v>62790</v>
      </c>
      <c r="V44" s="32"/>
    </row>
    <row r="45" ht="15.0" customHeight="1">
      <c r="F45" s="28"/>
      <c r="G45" s="15" t="s">
        <v>60</v>
      </c>
      <c r="H45" s="15" t="s">
        <v>18</v>
      </c>
      <c r="I45" s="16" t="s">
        <v>19</v>
      </c>
      <c r="J45" s="29" t="s">
        <v>20</v>
      </c>
      <c r="K45" s="30">
        <v>43.0</v>
      </c>
      <c r="L45" s="18">
        <f t="shared" si="11"/>
        <v>2734800</v>
      </c>
      <c r="M45" s="31"/>
      <c r="N45" s="31"/>
      <c r="O45" s="31"/>
      <c r="P45" s="31"/>
      <c r="Q45" s="31"/>
      <c r="R45" s="31"/>
      <c r="S45" s="31"/>
      <c r="T45" s="20">
        <v>1060.0</v>
      </c>
      <c r="U45" s="20">
        <f t="shared" si="12"/>
        <v>45580</v>
      </c>
      <c r="V45" s="32"/>
    </row>
    <row r="46" ht="15.0" customHeight="1">
      <c r="F46" s="28"/>
      <c r="G46" s="8" t="s">
        <v>61</v>
      </c>
      <c r="H46" s="8" t="s">
        <v>18</v>
      </c>
      <c r="I46" s="8" t="s">
        <v>27</v>
      </c>
      <c r="J46" s="8" t="s">
        <v>20</v>
      </c>
      <c r="K46" s="33">
        <v>52.0</v>
      </c>
      <c r="L46" s="34">
        <f t="shared" si="11"/>
        <v>3432000</v>
      </c>
      <c r="M46" s="34"/>
      <c r="N46" s="34"/>
      <c r="O46" s="34"/>
      <c r="P46" s="34"/>
      <c r="Q46" s="34"/>
      <c r="R46" s="34"/>
      <c r="S46" s="34"/>
      <c r="T46" s="35">
        <v>1100.0</v>
      </c>
      <c r="U46" s="35">
        <f t="shared" si="12"/>
        <v>57200</v>
      </c>
      <c r="V46" s="32"/>
    </row>
    <row r="47" ht="15.0" customHeight="1">
      <c r="F47" s="28"/>
      <c r="G47" s="8" t="s">
        <v>62</v>
      </c>
      <c r="H47" s="8" t="s">
        <v>18</v>
      </c>
      <c r="I47" s="8" t="s">
        <v>27</v>
      </c>
      <c r="J47" s="8" t="s">
        <v>20</v>
      </c>
      <c r="K47" s="33">
        <v>52.0</v>
      </c>
      <c r="L47" s="34">
        <f t="shared" si="11"/>
        <v>3432000</v>
      </c>
      <c r="M47" s="34"/>
      <c r="N47" s="34"/>
      <c r="O47" s="34"/>
      <c r="P47" s="34"/>
      <c r="Q47" s="34"/>
      <c r="R47" s="34"/>
      <c r="S47" s="34"/>
      <c r="T47" s="35">
        <v>1100.0</v>
      </c>
      <c r="U47" s="35">
        <f t="shared" si="12"/>
        <v>57200</v>
      </c>
      <c r="V47" s="32"/>
    </row>
    <row r="48" ht="15.0" customHeight="1">
      <c r="F48" s="28"/>
      <c r="G48" s="15" t="s">
        <v>63</v>
      </c>
      <c r="H48" s="15" t="s">
        <v>18</v>
      </c>
      <c r="I48" s="16" t="s">
        <v>19</v>
      </c>
      <c r="J48" s="29" t="s">
        <v>20</v>
      </c>
      <c r="K48" s="30">
        <v>43.0</v>
      </c>
      <c r="L48" s="18">
        <f t="shared" si="11"/>
        <v>2734800</v>
      </c>
      <c r="M48" s="31"/>
      <c r="N48" s="31"/>
      <c r="O48" s="31"/>
      <c r="P48" s="31"/>
      <c r="Q48" s="31"/>
      <c r="R48" s="31"/>
      <c r="S48" s="31"/>
      <c r="T48" s="20">
        <v>1060.0</v>
      </c>
      <c r="U48" s="20">
        <f t="shared" si="12"/>
        <v>45580</v>
      </c>
      <c r="V48" s="32"/>
    </row>
    <row r="49" ht="15.0" customHeight="1">
      <c r="F49" s="28"/>
      <c r="G49" s="8" t="s">
        <v>64</v>
      </c>
      <c r="H49" s="8" t="s">
        <v>18</v>
      </c>
      <c r="I49" s="8" t="s">
        <v>27</v>
      </c>
      <c r="J49" s="8" t="s">
        <v>20</v>
      </c>
      <c r="K49" s="33">
        <v>45.0</v>
      </c>
      <c r="L49" s="34">
        <f t="shared" si="11"/>
        <v>2457000</v>
      </c>
      <c r="M49" s="34"/>
      <c r="N49" s="34"/>
      <c r="O49" s="34"/>
      <c r="P49" s="34"/>
      <c r="Q49" s="34"/>
      <c r="R49" s="34"/>
      <c r="S49" s="34"/>
      <c r="T49" s="35">
        <v>910.0</v>
      </c>
      <c r="U49" s="35">
        <f t="shared" si="12"/>
        <v>40950</v>
      </c>
      <c r="V49" s="32"/>
    </row>
    <row r="50" ht="15.0" customHeight="1">
      <c r="F50" s="28"/>
      <c r="G50" s="15" t="s">
        <v>65</v>
      </c>
      <c r="H50" s="15" t="s">
        <v>18</v>
      </c>
      <c r="I50" s="16" t="s">
        <v>19</v>
      </c>
      <c r="J50" s="29" t="s">
        <v>20</v>
      </c>
      <c r="K50" s="30">
        <v>38.0</v>
      </c>
      <c r="L50" s="18">
        <f t="shared" si="11"/>
        <v>2508000</v>
      </c>
      <c r="M50" s="31"/>
      <c r="N50" s="31"/>
      <c r="O50" s="31"/>
      <c r="P50" s="31"/>
      <c r="Q50" s="31"/>
      <c r="R50" s="31"/>
      <c r="S50" s="31"/>
      <c r="T50" s="20">
        <v>1100.0</v>
      </c>
      <c r="U50" s="20">
        <f t="shared" si="12"/>
        <v>41800</v>
      </c>
      <c r="V50" s="32"/>
    </row>
    <row r="51" ht="15.0" customHeight="1">
      <c r="F51" s="28"/>
      <c r="G51" s="8" t="s">
        <v>66</v>
      </c>
      <c r="H51" s="8" t="s">
        <v>18</v>
      </c>
      <c r="I51" s="37" t="s">
        <v>19</v>
      </c>
      <c r="J51" s="8" t="s">
        <v>20</v>
      </c>
      <c r="K51" s="33">
        <v>30.0</v>
      </c>
      <c r="L51" s="34">
        <f t="shared" si="11"/>
        <v>1980000</v>
      </c>
      <c r="M51" s="34"/>
      <c r="N51" s="34"/>
      <c r="O51" s="34"/>
      <c r="P51" s="34"/>
      <c r="Q51" s="34"/>
      <c r="R51" s="34"/>
      <c r="S51" s="34"/>
      <c r="T51" s="35">
        <v>1100.0</v>
      </c>
      <c r="U51" s="35">
        <f t="shared" si="12"/>
        <v>33000</v>
      </c>
      <c r="V51" s="32"/>
    </row>
    <row r="52" ht="15.0" customHeight="1">
      <c r="F52" s="28"/>
      <c r="G52" s="15" t="s">
        <v>67</v>
      </c>
      <c r="H52" s="15" t="s">
        <v>18</v>
      </c>
      <c r="I52" s="16" t="s">
        <v>19</v>
      </c>
      <c r="J52" s="29" t="s">
        <v>20</v>
      </c>
      <c r="K52" s="30">
        <v>38.0</v>
      </c>
      <c r="L52" s="18">
        <f t="shared" si="11"/>
        <v>2508000</v>
      </c>
      <c r="M52" s="31"/>
      <c r="N52" s="31"/>
      <c r="O52" s="31"/>
      <c r="P52" s="31"/>
      <c r="Q52" s="31"/>
      <c r="R52" s="31"/>
      <c r="S52" s="31"/>
      <c r="T52" s="20">
        <v>1100.0</v>
      </c>
      <c r="U52" s="20">
        <f t="shared" si="12"/>
        <v>41800</v>
      </c>
      <c r="V52" s="32"/>
    </row>
    <row r="53" ht="14.25" customHeight="1">
      <c r="A53" s="42"/>
      <c r="B53" s="42"/>
      <c r="C53" s="42"/>
      <c r="D53" s="42"/>
      <c r="E53" s="42"/>
      <c r="F53" s="42"/>
      <c r="G53" s="15"/>
      <c r="H53" s="15"/>
      <c r="I53" s="15"/>
      <c r="J53" s="43"/>
      <c r="K53" s="3"/>
      <c r="L53" s="18">
        <f t="shared" si="11"/>
        <v>0</v>
      </c>
      <c r="M53" s="15"/>
      <c r="N53" s="18"/>
      <c r="O53" s="18"/>
      <c r="P53" s="19"/>
      <c r="Q53" s="18"/>
      <c r="R53" s="18"/>
      <c r="S53" s="18"/>
      <c r="T53" s="21"/>
      <c r="U53" s="21"/>
      <c r="V53" s="42"/>
      <c r="W53" s="42"/>
      <c r="X53" s="42"/>
      <c r="Y53" s="42"/>
    </row>
    <row r="54" ht="21.0" customHeight="1">
      <c r="A54" s="42"/>
      <c r="B54" s="42"/>
      <c r="C54" s="42"/>
      <c r="D54" s="42"/>
      <c r="E54" s="42"/>
      <c r="F54" s="42"/>
      <c r="G54" s="44" t="s">
        <v>68</v>
      </c>
      <c r="H54" s="2"/>
      <c r="I54" s="2"/>
      <c r="J54" s="2"/>
      <c r="K54" s="2"/>
      <c r="L54" s="3"/>
      <c r="M54" s="15"/>
      <c r="N54" s="18"/>
      <c r="O54" s="18"/>
      <c r="P54" s="19"/>
      <c r="Q54" s="18"/>
      <c r="R54" s="18"/>
      <c r="S54" s="18"/>
      <c r="T54" s="21"/>
      <c r="U54" s="21"/>
      <c r="V54" s="42"/>
      <c r="W54" s="42"/>
      <c r="X54" s="42"/>
      <c r="Y54" s="42"/>
    </row>
    <row r="55" ht="21.0" customHeight="1">
      <c r="A55" s="42"/>
      <c r="B55" s="42"/>
      <c r="C55" s="42"/>
      <c r="D55" s="42"/>
      <c r="E55" s="42"/>
      <c r="F55" s="42"/>
      <c r="G55" s="44" t="s">
        <v>69</v>
      </c>
      <c r="H55" s="2"/>
      <c r="I55" s="2"/>
      <c r="J55" s="2"/>
      <c r="K55" s="2"/>
      <c r="L55" s="3"/>
      <c r="M55" s="15"/>
      <c r="N55" s="18"/>
      <c r="O55" s="18"/>
      <c r="P55" s="19"/>
      <c r="Q55" s="18"/>
      <c r="R55" s="18"/>
      <c r="S55" s="18"/>
      <c r="T55" s="21"/>
      <c r="U55" s="21"/>
      <c r="V55" s="42"/>
      <c r="W55" s="42"/>
      <c r="X55" s="42"/>
      <c r="Y55" s="42"/>
    </row>
    <row r="56" ht="14.25" customHeight="1">
      <c r="A56" s="42"/>
      <c r="B56" s="42"/>
      <c r="C56" s="42"/>
      <c r="D56" s="42"/>
      <c r="E56" s="42"/>
      <c r="F56" s="42"/>
      <c r="G56" s="45"/>
      <c r="H56" s="46"/>
      <c r="I56" s="46"/>
      <c r="J56" s="46"/>
      <c r="K56" s="46"/>
      <c r="L56" s="46"/>
      <c r="M56" s="47"/>
      <c r="N56" s="48"/>
      <c r="O56" s="48"/>
      <c r="P56" s="49"/>
      <c r="Q56" s="48"/>
      <c r="R56" s="48"/>
      <c r="S56" s="50"/>
      <c r="T56" s="42"/>
      <c r="U56" s="42"/>
      <c r="V56" s="42"/>
      <c r="W56" s="42"/>
      <c r="X56" s="42"/>
      <c r="Y56" s="42"/>
    </row>
    <row r="57" ht="21.0" customHeight="1">
      <c r="A57" s="42"/>
      <c r="B57" s="42"/>
      <c r="C57" s="42"/>
      <c r="D57" s="42"/>
      <c r="E57" s="42"/>
      <c r="F57" s="42"/>
      <c r="G57" s="51" t="s">
        <v>70</v>
      </c>
      <c r="H57" s="52"/>
      <c r="I57" s="52"/>
      <c r="J57" s="52"/>
      <c r="K57" s="52"/>
      <c r="L57" s="53"/>
      <c r="M57" s="54"/>
      <c r="N57" s="48"/>
      <c r="O57" s="48"/>
      <c r="P57" s="55"/>
      <c r="Q57" s="48"/>
      <c r="R57" s="48"/>
      <c r="S57" s="50"/>
      <c r="T57" s="42"/>
      <c r="U57" s="42"/>
      <c r="V57" s="42"/>
      <c r="W57" s="42"/>
      <c r="X57" s="42"/>
      <c r="Y57" s="42"/>
    </row>
    <row r="58" ht="21.0" customHeight="1">
      <c r="A58" s="42"/>
      <c r="B58" s="42"/>
      <c r="C58" s="42"/>
      <c r="D58" s="42"/>
      <c r="E58" s="42"/>
      <c r="F58" s="42"/>
      <c r="G58" s="51" t="s">
        <v>71</v>
      </c>
      <c r="H58" s="52"/>
      <c r="I58" s="52"/>
      <c r="J58" s="52"/>
      <c r="K58" s="52"/>
      <c r="L58" s="53"/>
      <c r="M58" s="54"/>
      <c r="N58" s="48"/>
      <c r="O58" s="48"/>
      <c r="P58" s="55"/>
      <c r="Q58" s="48"/>
      <c r="R58" s="48"/>
      <c r="S58" s="50"/>
      <c r="T58" s="42"/>
      <c r="U58" s="42"/>
      <c r="V58" s="42"/>
      <c r="W58" s="42"/>
      <c r="X58" s="42"/>
      <c r="Y58" s="42"/>
    </row>
    <row r="59" ht="14.25" customHeight="1">
      <c r="A59" s="42"/>
      <c r="B59" s="42"/>
      <c r="C59" s="42"/>
      <c r="D59" s="42"/>
      <c r="E59" s="42"/>
      <c r="F59" s="42"/>
      <c r="G59" s="56"/>
      <c r="H59" s="57"/>
      <c r="I59" s="57"/>
      <c r="J59" s="57"/>
      <c r="K59" s="57"/>
      <c r="L59" s="57"/>
      <c r="M59" s="48"/>
      <c r="N59" s="48"/>
      <c r="O59" s="48"/>
      <c r="P59" s="55"/>
      <c r="Q59" s="48"/>
      <c r="R59" s="48"/>
      <c r="S59" s="50"/>
      <c r="T59" s="42"/>
      <c r="U59" s="42"/>
      <c r="V59" s="42"/>
      <c r="W59" s="42"/>
      <c r="X59" s="42"/>
      <c r="Y59" s="42"/>
    </row>
    <row r="60" ht="14.25" customHeight="1">
      <c r="A60" s="42"/>
      <c r="B60" s="42"/>
      <c r="C60" s="42"/>
      <c r="D60" s="42"/>
      <c r="E60" s="42"/>
      <c r="F60" s="42"/>
      <c r="G60" s="54"/>
      <c r="H60" s="54"/>
      <c r="I60" s="54"/>
      <c r="J60" s="54"/>
      <c r="K60" s="54"/>
      <c r="L60" s="48"/>
      <c r="M60" s="48"/>
      <c r="N60" s="48"/>
      <c r="O60" s="48"/>
      <c r="P60" s="58"/>
      <c r="Q60" s="48"/>
      <c r="R60" s="48"/>
      <c r="S60" s="50"/>
      <c r="T60" s="42"/>
      <c r="U60" s="42"/>
      <c r="V60" s="42"/>
      <c r="W60" s="42"/>
      <c r="X60" s="42"/>
      <c r="Y60" s="42"/>
    </row>
    <row r="61" ht="14.25" customHeight="1">
      <c r="A61" s="42"/>
      <c r="B61" s="42"/>
      <c r="C61" s="42"/>
      <c r="D61" s="42"/>
      <c r="E61" s="42"/>
      <c r="F61" s="42"/>
      <c r="G61" s="54"/>
      <c r="H61" s="54"/>
      <c r="I61" s="54"/>
      <c r="J61" s="54"/>
      <c r="K61" s="54"/>
      <c r="L61" s="54"/>
      <c r="M61" s="48"/>
      <c r="N61" s="48"/>
      <c r="O61" s="48"/>
      <c r="P61" s="59"/>
      <c r="Q61" s="48"/>
      <c r="R61" s="48"/>
      <c r="S61" s="50"/>
      <c r="T61" s="42"/>
      <c r="U61" s="42"/>
      <c r="V61" s="42"/>
      <c r="W61" s="42"/>
      <c r="X61" s="42"/>
      <c r="Y61" s="42"/>
    </row>
    <row r="62" ht="14.25" customHeight="1">
      <c r="A62" s="42"/>
      <c r="B62" s="42"/>
      <c r="C62" s="42"/>
      <c r="D62" s="42"/>
      <c r="E62" s="42"/>
      <c r="F62" s="42"/>
      <c r="G62" s="54"/>
      <c r="H62" s="54"/>
      <c r="I62" s="54"/>
      <c r="J62" s="54"/>
      <c r="K62" s="54"/>
      <c r="L62" s="48"/>
      <c r="M62" s="48"/>
      <c r="N62" s="48"/>
      <c r="O62" s="48"/>
      <c r="P62" s="60"/>
      <c r="Q62" s="48"/>
      <c r="R62" s="48"/>
      <c r="S62" s="50"/>
      <c r="T62" s="42"/>
      <c r="U62" s="42"/>
      <c r="V62" s="42"/>
      <c r="W62" s="42"/>
      <c r="X62" s="42"/>
      <c r="Y62" s="42"/>
    </row>
    <row r="63" ht="14.25" customHeight="1">
      <c r="A63" s="42"/>
      <c r="B63" s="42"/>
      <c r="C63" s="42"/>
      <c r="D63" s="42"/>
      <c r="E63" s="42"/>
      <c r="F63" s="42"/>
      <c r="G63" s="54"/>
      <c r="H63" s="54"/>
      <c r="I63" s="54"/>
      <c r="J63" s="54"/>
      <c r="K63" s="54"/>
      <c r="L63" s="48"/>
      <c r="M63" s="48"/>
      <c r="N63" s="48"/>
      <c r="O63" s="48"/>
      <c r="P63" s="60"/>
      <c r="Q63" s="48"/>
      <c r="R63" s="48"/>
      <c r="S63" s="50"/>
      <c r="T63" s="42"/>
      <c r="U63" s="42"/>
      <c r="V63" s="42"/>
      <c r="W63" s="42"/>
      <c r="X63" s="42"/>
      <c r="Y63" s="42"/>
    </row>
    <row r="64" ht="14.25" customHeight="1">
      <c r="A64" s="42"/>
      <c r="B64" s="42"/>
      <c r="C64" s="42"/>
      <c r="D64" s="42"/>
      <c r="E64" s="42"/>
      <c r="F64" s="42"/>
      <c r="G64" s="54"/>
      <c r="H64" s="54"/>
      <c r="I64" s="54"/>
      <c r="J64" s="54"/>
      <c r="K64" s="54"/>
      <c r="L64" s="48"/>
      <c r="M64" s="42"/>
      <c r="N64" s="42"/>
      <c r="O64" s="48"/>
      <c r="P64" s="61"/>
      <c r="Q64" s="48"/>
      <c r="R64" s="48"/>
      <c r="S64" s="50"/>
      <c r="T64" s="42"/>
      <c r="U64" s="42"/>
      <c r="V64" s="42"/>
      <c r="W64" s="42"/>
      <c r="X64" s="42"/>
      <c r="Y64" s="42"/>
    </row>
    <row r="65" ht="14.25" customHeight="1">
      <c r="A65" s="42"/>
      <c r="B65" s="42"/>
      <c r="C65" s="42"/>
      <c r="D65" s="42"/>
      <c r="E65" s="42"/>
      <c r="F65" s="42"/>
      <c r="G65" s="54"/>
      <c r="H65" s="54"/>
      <c r="I65" s="54"/>
      <c r="J65" s="54"/>
      <c r="K65" s="54"/>
      <c r="L65" s="48"/>
      <c r="M65" s="48"/>
      <c r="N65" s="48"/>
      <c r="O65" s="48"/>
      <c r="P65" s="60"/>
      <c r="Q65" s="48"/>
      <c r="R65" s="48"/>
      <c r="S65" s="50"/>
      <c r="T65" s="42"/>
      <c r="U65" s="42"/>
      <c r="V65" s="42"/>
      <c r="W65" s="42"/>
      <c r="X65" s="42"/>
      <c r="Y65" s="42"/>
    </row>
    <row r="66" ht="14.25" customHeight="1">
      <c r="A66" s="42"/>
      <c r="B66" s="42"/>
      <c r="C66" s="42"/>
      <c r="D66" s="42"/>
      <c r="E66" s="42"/>
      <c r="F66" s="42"/>
      <c r="G66" s="54"/>
      <c r="H66" s="54"/>
      <c r="I66" s="54"/>
      <c r="J66" s="54"/>
      <c r="K66" s="54"/>
      <c r="L66" s="48"/>
      <c r="M66" s="48"/>
      <c r="N66" s="48"/>
      <c r="O66" s="48"/>
      <c r="P66" s="60"/>
      <c r="Q66" s="48"/>
      <c r="R66" s="48"/>
      <c r="S66" s="50"/>
      <c r="T66" s="42"/>
      <c r="U66" s="42"/>
      <c r="V66" s="42"/>
      <c r="W66" s="42"/>
      <c r="X66" s="42"/>
      <c r="Y66" s="42"/>
    </row>
    <row r="67" ht="14.25" customHeight="1">
      <c r="A67" s="42"/>
      <c r="B67" s="42"/>
      <c r="C67" s="42"/>
      <c r="D67" s="42"/>
      <c r="E67" s="42"/>
      <c r="F67" s="42"/>
      <c r="G67" s="54"/>
      <c r="H67" s="54"/>
      <c r="I67" s="54"/>
      <c r="J67" s="54"/>
      <c r="K67" s="54"/>
      <c r="L67" s="48"/>
      <c r="M67" s="48"/>
      <c r="N67" s="48"/>
      <c r="O67" s="48"/>
      <c r="P67" s="62"/>
      <c r="Q67" s="48"/>
      <c r="R67" s="48"/>
      <c r="S67" s="50"/>
      <c r="T67" s="42"/>
      <c r="U67" s="42"/>
      <c r="V67" s="42"/>
      <c r="W67" s="42"/>
      <c r="X67" s="42"/>
      <c r="Y67" s="42"/>
    </row>
    <row r="68" ht="14.25" customHeight="1">
      <c r="A68" s="42"/>
      <c r="B68" s="42"/>
      <c r="C68" s="42"/>
      <c r="D68" s="42"/>
      <c r="E68" s="42"/>
      <c r="F68" s="42"/>
      <c r="G68" s="54"/>
      <c r="N68" s="48"/>
      <c r="O68" s="48"/>
      <c r="P68" s="55"/>
      <c r="Q68" s="48"/>
      <c r="R68" s="48"/>
      <c r="S68" s="50"/>
      <c r="T68" s="42"/>
      <c r="U68" s="42"/>
      <c r="V68" s="42"/>
      <c r="W68" s="42"/>
      <c r="X68" s="42"/>
      <c r="Y68" s="42"/>
    </row>
    <row r="69" ht="14.25" customHeight="1">
      <c r="A69" s="42"/>
      <c r="B69" s="42"/>
      <c r="C69" s="42"/>
      <c r="D69" s="42"/>
      <c r="E69" s="42"/>
      <c r="F69" s="42"/>
      <c r="G69" s="54"/>
      <c r="H69" s="54"/>
      <c r="I69" s="54"/>
      <c r="J69" s="54"/>
      <c r="K69" s="54"/>
      <c r="L69" s="48"/>
      <c r="M69" s="48"/>
      <c r="N69" s="48"/>
      <c r="O69" s="48"/>
      <c r="P69" s="59"/>
      <c r="Q69" s="48"/>
      <c r="R69" s="48"/>
      <c r="S69" s="50"/>
      <c r="T69" s="42"/>
      <c r="U69" s="42"/>
      <c r="V69" s="42"/>
      <c r="W69" s="42"/>
      <c r="X69" s="42"/>
      <c r="Y69" s="42"/>
    </row>
    <row r="70" ht="14.25" customHeight="1">
      <c r="A70" s="42"/>
      <c r="B70" s="42"/>
      <c r="C70" s="42"/>
      <c r="D70" s="42"/>
      <c r="E70" s="42"/>
      <c r="F70" s="42"/>
      <c r="G70" s="54"/>
      <c r="H70" s="54"/>
      <c r="I70" s="54"/>
      <c r="J70" s="54"/>
      <c r="K70" s="54"/>
      <c r="L70" s="48"/>
      <c r="M70" s="48"/>
      <c r="N70" s="48"/>
      <c r="O70" s="48"/>
      <c r="P70" s="55"/>
      <c r="Q70" s="48"/>
      <c r="R70" s="48"/>
      <c r="S70" s="50"/>
      <c r="T70" s="42"/>
      <c r="U70" s="42"/>
      <c r="V70" s="42"/>
      <c r="W70" s="42"/>
      <c r="X70" s="42"/>
      <c r="Y70" s="42"/>
    </row>
    <row r="71" ht="14.25" customHeight="1">
      <c r="A71" s="42"/>
      <c r="B71" s="42"/>
      <c r="C71" s="42"/>
      <c r="D71" s="42"/>
      <c r="E71" s="42"/>
      <c r="F71" s="42"/>
      <c r="G71" s="54"/>
      <c r="H71" s="54"/>
      <c r="I71" s="54"/>
      <c r="J71" s="54"/>
      <c r="K71" s="54"/>
      <c r="L71" s="48"/>
      <c r="M71" s="48"/>
      <c r="N71" s="48"/>
      <c r="O71" s="48"/>
      <c r="P71" s="55"/>
      <c r="Q71" s="48"/>
      <c r="R71" s="48"/>
      <c r="S71" s="50"/>
      <c r="T71" s="42"/>
      <c r="U71" s="42"/>
      <c r="V71" s="42"/>
      <c r="W71" s="42"/>
      <c r="X71" s="42"/>
      <c r="Y71" s="42"/>
    </row>
    <row r="72" ht="14.25" customHeight="1">
      <c r="A72" s="42"/>
      <c r="B72" s="42"/>
      <c r="C72" s="42"/>
      <c r="D72" s="42"/>
      <c r="E72" s="42"/>
      <c r="F72" s="42"/>
      <c r="G72" s="54"/>
      <c r="H72" s="54"/>
      <c r="I72" s="54"/>
      <c r="J72" s="54"/>
      <c r="K72" s="54"/>
      <c r="L72" s="48"/>
      <c r="M72" s="48"/>
      <c r="N72" s="48"/>
      <c r="O72" s="48"/>
      <c r="P72" s="55"/>
      <c r="Q72" s="48"/>
      <c r="R72" s="48"/>
      <c r="S72" s="50"/>
      <c r="T72" s="42"/>
      <c r="U72" s="42"/>
      <c r="V72" s="42"/>
      <c r="W72" s="42"/>
      <c r="X72" s="42"/>
      <c r="Y72" s="42"/>
    </row>
    <row r="73" ht="14.25" customHeight="1">
      <c r="A73" s="42"/>
      <c r="B73" s="42"/>
      <c r="C73" s="42"/>
      <c r="D73" s="42"/>
      <c r="E73" s="42"/>
      <c r="F73" s="42"/>
      <c r="G73" s="54"/>
      <c r="H73" s="54"/>
      <c r="I73" s="54"/>
      <c r="J73" s="54"/>
      <c r="K73" s="54"/>
      <c r="L73" s="48"/>
      <c r="M73" s="48"/>
      <c r="N73" s="48"/>
      <c r="O73" s="48"/>
      <c r="P73" s="55"/>
      <c r="Q73" s="48"/>
      <c r="R73" s="48"/>
      <c r="S73" s="50"/>
      <c r="T73" s="42"/>
      <c r="U73" s="42"/>
      <c r="V73" s="42"/>
      <c r="W73" s="42"/>
      <c r="X73" s="42"/>
      <c r="Y73" s="42"/>
    </row>
    <row r="74" ht="14.25" customHeight="1">
      <c r="A74" s="42"/>
      <c r="B74" s="42"/>
      <c r="C74" s="42"/>
      <c r="D74" s="42"/>
      <c r="E74" s="42"/>
      <c r="F74" s="42"/>
      <c r="G74" s="54"/>
      <c r="H74" s="54"/>
      <c r="I74" s="54"/>
      <c r="J74" s="54"/>
      <c r="K74" s="54"/>
      <c r="L74" s="48"/>
      <c r="M74" s="63"/>
      <c r="P74" s="55"/>
      <c r="Q74" s="63"/>
      <c r="S74" s="64"/>
      <c r="T74" s="42"/>
      <c r="U74" s="42"/>
      <c r="V74" s="42"/>
      <c r="W74" s="42"/>
      <c r="X74" s="42"/>
      <c r="Y74" s="42"/>
    </row>
    <row r="75" ht="14.25" customHeight="1">
      <c r="A75" s="42"/>
      <c r="B75" s="42"/>
      <c r="C75" s="42"/>
      <c r="D75" s="42"/>
      <c r="E75" s="42"/>
      <c r="F75" s="42"/>
      <c r="G75" s="54"/>
      <c r="H75" s="54"/>
      <c r="I75" s="54"/>
      <c r="J75" s="54"/>
      <c r="K75" s="54"/>
      <c r="L75" s="48"/>
      <c r="M75" s="48"/>
      <c r="N75" s="48"/>
      <c r="O75" s="48"/>
      <c r="P75" s="55"/>
      <c r="Q75" s="48"/>
      <c r="R75" s="48"/>
      <c r="S75" s="50"/>
      <c r="T75" s="42"/>
      <c r="U75" s="42"/>
      <c r="V75" s="42"/>
      <c r="W75" s="42"/>
      <c r="X75" s="42"/>
      <c r="Y75" s="42"/>
    </row>
    <row r="76" ht="14.25" customHeight="1">
      <c r="A76" s="42"/>
      <c r="B76" s="42"/>
      <c r="C76" s="42"/>
      <c r="D76" s="42"/>
      <c r="E76" s="42"/>
      <c r="F76" s="42"/>
      <c r="G76" s="54"/>
      <c r="H76" s="54"/>
      <c r="I76" s="54"/>
      <c r="J76" s="54"/>
      <c r="K76" s="54"/>
      <c r="L76" s="48"/>
      <c r="M76" s="48"/>
      <c r="N76" s="48"/>
      <c r="O76" s="48"/>
      <c r="P76" s="59"/>
      <c r="Q76" s="48"/>
      <c r="R76" s="48"/>
      <c r="S76" s="50"/>
      <c r="T76" s="42"/>
      <c r="U76" s="42"/>
      <c r="V76" s="42"/>
      <c r="W76" s="42"/>
      <c r="X76" s="42"/>
      <c r="Y76" s="42"/>
    </row>
    <row r="77" ht="14.25" customHeight="1">
      <c r="A77" s="42"/>
      <c r="B77" s="42"/>
      <c r="C77" s="42"/>
      <c r="D77" s="42"/>
      <c r="E77" s="42"/>
      <c r="F77" s="42"/>
      <c r="G77" s="54"/>
      <c r="H77" s="54"/>
      <c r="I77" s="54"/>
      <c r="J77" s="54"/>
      <c r="K77" s="54"/>
      <c r="L77" s="48"/>
      <c r="M77" s="48"/>
      <c r="N77" s="48"/>
      <c r="O77" s="48"/>
      <c r="P77" s="55"/>
      <c r="Q77" s="48"/>
      <c r="R77" s="48"/>
      <c r="S77" s="50"/>
      <c r="T77" s="42"/>
      <c r="U77" s="42"/>
      <c r="V77" s="42"/>
      <c r="W77" s="42"/>
      <c r="X77" s="42"/>
      <c r="Y77" s="42"/>
    </row>
    <row r="78" ht="14.25" customHeight="1">
      <c r="A78" s="42"/>
      <c r="B78" s="42"/>
      <c r="C78" s="42"/>
      <c r="D78" s="42"/>
      <c r="E78" s="42"/>
      <c r="F78" s="42"/>
      <c r="G78" s="54"/>
      <c r="N78" s="48"/>
      <c r="O78" s="48"/>
      <c r="P78" s="55"/>
      <c r="Q78" s="48"/>
      <c r="R78" s="48"/>
      <c r="S78" s="50"/>
      <c r="T78" s="42"/>
      <c r="U78" s="42"/>
      <c r="V78" s="42"/>
      <c r="W78" s="42"/>
      <c r="X78" s="42"/>
      <c r="Y78" s="42"/>
    </row>
    <row r="79" ht="14.25" customHeight="1">
      <c r="A79" s="42"/>
      <c r="B79" s="42"/>
      <c r="C79" s="42"/>
      <c r="D79" s="42"/>
      <c r="E79" s="42"/>
      <c r="F79" s="42"/>
      <c r="G79" s="54"/>
      <c r="H79" s="54"/>
      <c r="I79" s="54"/>
      <c r="J79" s="54"/>
      <c r="K79" s="54"/>
      <c r="L79" s="48"/>
      <c r="M79" s="48"/>
      <c r="N79" s="48"/>
      <c r="O79" s="48"/>
      <c r="P79" s="55"/>
      <c r="Q79" s="48"/>
      <c r="R79" s="48"/>
      <c r="S79" s="50"/>
      <c r="T79" s="42"/>
      <c r="U79" s="42"/>
      <c r="V79" s="42"/>
      <c r="W79" s="42"/>
      <c r="X79" s="42"/>
      <c r="Y79" s="42"/>
    </row>
    <row r="80" ht="14.25" customHeight="1">
      <c r="A80" s="42"/>
      <c r="B80" s="42"/>
      <c r="C80" s="42"/>
      <c r="D80" s="42"/>
      <c r="E80" s="42"/>
      <c r="F80" s="42"/>
      <c r="G80" s="54"/>
      <c r="H80" s="54"/>
      <c r="I80" s="54"/>
      <c r="J80" s="54"/>
      <c r="K80" s="54"/>
      <c r="L80" s="48"/>
      <c r="M80" s="48"/>
      <c r="N80" s="48"/>
      <c r="O80" s="48"/>
      <c r="P80" s="55"/>
      <c r="Q80" s="48"/>
      <c r="R80" s="48"/>
      <c r="S80" s="50"/>
      <c r="T80" s="42"/>
      <c r="U80" s="42"/>
      <c r="V80" s="42"/>
      <c r="W80" s="42"/>
      <c r="X80" s="42"/>
      <c r="Y80" s="42"/>
    </row>
    <row r="81" ht="14.25" customHeight="1">
      <c r="A81" s="42"/>
      <c r="B81" s="42"/>
      <c r="C81" s="42"/>
      <c r="D81" s="42"/>
      <c r="E81" s="42"/>
      <c r="F81" s="42"/>
      <c r="G81" s="54"/>
      <c r="H81" s="54"/>
      <c r="I81" s="54"/>
      <c r="J81" s="54"/>
      <c r="K81" s="54"/>
      <c r="L81" s="48"/>
      <c r="M81" s="48"/>
      <c r="N81" s="48"/>
      <c r="O81" s="48"/>
      <c r="P81" s="55"/>
      <c r="Q81" s="48"/>
      <c r="R81" s="48"/>
      <c r="S81" s="50"/>
      <c r="T81" s="42"/>
      <c r="U81" s="42"/>
      <c r="V81" s="42"/>
      <c r="W81" s="42"/>
      <c r="X81" s="42"/>
      <c r="Y81" s="42"/>
    </row>
    <row r="82" ht="14.25" customHeight="1">
      <c r="A82" s="42"/>
      <c r="B82" s="42"/>
      <c r="C82" s="42"/>
      <c r="D82" s="42"/>
      <c r="E82" s="42"/>
      <c r="F82" s="42"/>
      <c r="G82" s="54"/>
      <c r="H82" s="54"/>
      <c r="I82" s="54"/>
      <c r="J82" s="54"/>
      <c r="K82" s="54"/>
      <c r="L82" s="48"/>
      <c r="M82" s="48"/>
      <c r="N82" s="48"/>
      <c r="O82" s="48"/>
      <c r="P82" s="55"/>
      <c r="Q82" s="48"/>
      <c r="R82" s="48"/>
      <c r="S82" s="50"/>
      <c r="T82" s="42"/>
      <c r="U82" s="42"/>
      <c r="V82" s="42"/>
      <c r="W82" s="42"/>
      <c r="X82" s="42"/>
      <c r="Y82" s="42"/>
    </row>
    <row r="83" ht="14.25" customHeight="1">
      <c r="A83" s="42"/>
      <c r="B83" s="42"/>
      <c r="C83" s="42"/>
      <c r="D83" s="42"/>
      <c r="E83" s="42"/>
      <c r="F83" s="42"/>
      <c r="G83" s="54"/>
      <c r="H83" s="54"/>
      <c r="I83" s="54"/>
      <c r="J83" s="54"/>
      <c r="K83" s="54"/>
      <c r="L83" s="48"/>
      <c r="M83" s="48"/>
      <c r="N83" s="48"/>
      <c r="O83" s="48"/>
      <c r="P83" s="55"/>
      <c r="Q83" s="48"/>
      <c r="R83" s="48"/>
      <c r="S83" s="50"/>
      <c r="T83" s="42"/>
      <c r="U83" s="42"/>
      <c r="V83" s="42"/>
      <c r="W83" s="42"/>
      <c r="X83" s="42"/>
      <c r="Y83" s="42"/>
    </row>
    <row r="84" ht="14.25" customHeight="1">
      <c r="A84" s="42"/>
      <c r="B84" s="42"/>
      <c r="C84" s="42"/>
      <c r="D84" s="42"/>
      <c r="E84" s="42"/>
      <c r="F84" s="42"/>
      <c r="G84" s="54"/>
      <c r="H84" s="54"/>
      <c r="I84" s="54"/>
      <c r="J84" s="54"/>
      <c r="K84" s="54"/>
      <c r="L84" s="48"/>
      <c r="M84" s="48"/>
      <c r="N84" s="48"/>
      <c r="O84" s="48"/>
      <c r="P84" s="55"/>
      <c r="Q84" s="48"/>
      <c r="R84" s="48"/>
      <c r="S84" s="50"/>
      <c r="T84" s="42"/>
      <c r="U84" s="42"/>
      <c r="V84" s="42"/>
      <c r="W84" s="42"/>
      <c r="X84" s="42"/>
      <c r="Y84" s="42"/>
    </row>
    <row r="85" ht="14.25" customHeight="1">
      <c r="A85" s="42"/>
      <c r="B85" s="42"/>
      <c r="C85" s="42"/>
      <c r="D85" s="42"/>
      <c r="E85" s="42"/>
      <c r="F85" s="42"/>
      <c r="G85" s="54"/>
      <c r="H85" s="54"/>
      <c r="I85" s="54"/>
      <c r="J85" s="54"/>
      <c r="K85" s="54"/>
      <c r="L85" s="48"/>
      <c r="M85" s="48"/>
      <c r="N85" s="48"/>
      <c r="O85" s="48"/>
      <c r="P85" s="55"/>
      <c r="Q85" s="48"/>
      <c r="R85" s="48"/>
      <c r="S85" s="50"/>
      <c r="T85" s="42"/>
      <c r="U85" s="42"/>
      <c r="V85" s="42"/>
      <c r="W85" s="42"/>
      <c r="X85" s="42"/>
      <c r="Y85" s="42"/>
    </row>
    <row r="86" ht="14.25" customHeight="1">
      <c r="A86" s="42"/>
      <c r="B86" s="42"/>
      <c r="C86" s="42"/>
      <c r="D86" s="42"/>
      <c r="E86" s="42"/>
      <c r="F86" s="42"/>
      <c r="G86" s="54"/>
      <c r="H86" s="54"/>
      <c r="I86" s="54"/>
      <c r="J86" s="54"/>
      <c r="K86" s="54"/>
      <c r="L86" s="48"/>
      <c r="M86" s="48"/>
      <c r="N86" s="48"/>
      <c r="O86" s="48"/>
      <c r="P86" s="59"/>
      <c r="Q86" s="48"/>
      <c r="R86" s="48"/>
      <c r="S86" s="50"/>
      <c r="T86" s="42"/>
      <c r="U86" s="42"/>
      <c r="V86" s="42"/>
      <c r="W86" s="42"/>
      <c r="X86" s="42"/>
      <c r="Y86" s="42"/>
    </row>
    <row r="87" ht="14.25" customHeight="1">
      <c r="A87" s="42"/>
      <c r="B87" s="42"/>
      <c r="C87" s="42"/>
      <c r="D87" s="42"/>
      <c r="E87" s="42"/>
      <c r="F87" s="42"/>
      <c r="G87" s="54"/>
      <c r="H87" s="54"/>
      <c r="I87" s="54"/>
      <c r="J87" s="54"/>
      <c r="K87" s="54"/>
      <c r="L87" s="48"/>
      <c r="M87" s="48"/>
      <c r="N87" s="48"/>
      <c r="O87" s="48"/>
      <c r="P87" s="55"/>
      <c r="Q87" s="48"/>
      <c r="R87" s="48"/>
      <c r="S87" s="50"/>
      <c r="T87" s="42"/>
      <c r="U87" s="42"/>
      <c r="V87" s="42"/>
      <c r="W87" s="42"/>
      <c r="X87" s="42"/>
      <c r="Y87" s="42"/>
    </row>
    <row r="88" ht="14.25" customHeight="1">
      <c r="A88" s="42"/>
      <c r="B88" s="42"/>
      <c r="C88" s="42"/>
      <c r="D88" s="42"/>
      <c r="E88" s="42"/>
      <c r="F88" s="42"/>
      <c r="G88" s="54"/>
      <c r="N88" s="48"/>
      <c r="O88" s="48"/>
      <c r="P88" s="55"/>
      <c r="Q88" s="48"/>
      <c r="R88" s="48"/>
      <c r="S88" s="50"/>
      <c r="T88" s="42"/>
      <c r="U88" s="42"/>
      <c r="V88" s="42"/>
      <c r="W88" s="42"/>
      <c r="X88" s="42"/>
      <c r="Y88" s="42"/>
    </row>
    <row r="89" ht="14.25" customHeight="1">
      <c r="A89" s="42"/>
      <c r="B89" s="42"/>
      <c r="C89" s="42"/>
      <c r="D89" s="42"/>
      <c r="E89" s="42"/>
      <c r="F89" s="42"/>
      <c r="G89" s="54"/>
      <c r="H89" s="54"/>
      <c r="I89" s="54"/>
      <c r="J89" s="54"/>
      <c r="K89" s="54"/>
      <c r="L89" s="48"/>
      <c r="M89" s="48"/>
      <c r="N89" s="48"/>
      <c r="O89" s="48"/>
      <c r="P89" s="55"/>
      <c r="Q89" s="48"/>
      <c r="R89" s="48"/>
      <c r="S89" s="50"/>
      <c r="T89" s="42"/>
      <c r="U89" s="42"/>
      <c r="V89" s="42"/>
      <c r="W89" s="42"/>
      <c r="X89" s="42"/>
      <c r="Y89" s="42"/>
    </row>
    <row r="90" ht="14.25" customHeight="1">
      <c r="A90" s="42"/>
      <c r="B90" s="42"/>
      <c r="C90" s="42"/>
      <c r="D90" s="42"/>
      <c r="E90" s="42"/>
      <c r="F90" s="42"/>
      <c r="G90" s="54"/>
      <c r="H90" s="54"/>
      <c r="I90" s="54"/>
      <c r="J90" s="54"/>
      <c r="K90" s="54"/>
      <c r="L90" s="48"/>
      <c r="M90" s="48"/>
      <c r="N90" s="48"/>
      <c r="O90" s="48"/>
      <c r="P90" s="55"/>
      <c r="Q90" s="48"/>
      <c r="R90" s="48"/>
      <c r="S90" s="50"/>
      <c r="T90" s="42"/>
      <c r="U90" s="42"/>
      <c r="V90" s="42"/>
      <c r="W90" s="42"/>
      <c r="X90" s="42"/>
      <c r="Y90" s="42"/>
    </row>
    <row r="91" ht="14.25" customHeight="1">
      <c r="A91" s="42"/>
      <c r="B91" s="42"/>
      <c r="C91" s="42"/>
      <c r="D91" s="42"/>
      <c r="E91" s="42"/>
      <c r="F91" s="42"/>
      <c r="G91" s="54"/>
      <c r="H91" s="54"/>
      <c r="I91" s="54"/>
      <c r="J91" s="54"/>
      <c r="K91" s="54"/>
      <c r="L91" s="48"/>
      <c r="M91" s="48"/>
      <c r="N91" s="48"/>
      <c r="O91" s="48"/>
      <c r="P91" s="55"/>
      <c r="Q91" s="48"/>
      <c r="R91" s="48"/>
      <c r="S91" s="50"/>
      <c r="T91" s="42"/>
      <c r="U91" s="42"/>
      <c r="V91" s="42"/>
      <c r="W91" s="42"/>
      <c r="X91" s="42"/>
      <c r="Y91" s="42"/>
    </row>
    <row r="92" ht="14.25" customHeight="1">
      <c r="A92" s="42"/>
      <c r="B92" s="42"/>
      <c r="C92" s="42"/>
      <c r="D92" s="42"/>
      <c r="E92" s="42"/>
      <c r="F92" s="42"/>
      <c r="G92" s="54"/>
      <c r="H92" s="54"/>
      <c r="I92" s="54"/>
      <c r="J92" s="54"/>
      <c r="K92" s="54"/>
      <c r="L92" s="48"/>
      <c r="M92" s="48"/>
      <c r="N92" s="48"/>
      <c r="O92" s="48"/>
      <c r="P92" s="55"/>
      <c r="Q92" s="48"/>
      <c r="R92" s="48"/>
      <c r="S92" s="50"/>
      <c r="T92" s="42"/>
      <c r="U92" s="42"/>
      <c r="V92" s="42"/>
      <c r="W92" s="42"/>
      <c r="X92" s="42"/>
      <c r="Y92" s="42"/>
    </row>
    <row r="93" ht="14.25" customHeight="1">
      <c r="A93" s="42"/>
      <c r="B93" s="42"/>
      <c r="C93" s="42"/>
      <c r="D93" s="42"/>
      <c r="E93" s="42"/>
      <c r="F93" s="42"/>
      <c r="G93" s="54"/>
      <c r="H93" s="54"/>
      <c r="I93" s="54"/>
      <c r="J93" s="54"/>
      <c r="K93" s="54"/>
      <c r="L93" s="48"/>
      <c r="M93" s="48"/>
      <c r="N93" s="48"/>
      <c r="O93" s="48"/>
      <c r="P93" s="55"/>
      <c r="Q93" s="48"/>
      <c r="R93" s="48"/>
      <c r="S93" s="50"/>
      <c r="T93" s="42"/>
      <c r="U93" s="42"/>
      <c r="V93" s="42"/>
      <c r="W93" s="42"/>
      <c r="X93" s="42"/>
      <c r="Y93" s="42"/>
    </row>
    <row r="94" ht="14.2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8"/>
      <c r="N94" s="48"/>
      <c r="O94" s="48"/>
      <c r="P94" s="55"/>
      <c r="Q94" s="48"/>
      <c r="R94" s="48"/>
      <c r="S94" s="50"/>
      <c r="T94" s="42"/>
      <c r="U94" s="42"/>
      <c r="V94" s="42"/>
      <c r="W94" s="42"/>
      <c r="X94" s="42"/>
      <c r="Y94" s="42"/>
    </row>
    <row r="95" ht="14.2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8"/>
      <c r="N95" s="48"/>
      <c r="O95" s="48"/>
      <c r="P95" s="55"/>
      <c r="Q95" s="48"/>
      <c r="R95" s="48"/>
      <c r="S95" s="50"/>
      <c r="T95" s="42"/>
      <c r="U95" s="42"/>
      <c r="V95" s="42"/>
      <c r="W95" s="42"/>
      <c r="X95" s="42"/>
      <c r="Y95" s="42"/>
    </row>
    <row r="96" ht="14.25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65"/>
      <c r="N96" s="65"/>
      <c r="O96" s="65"/>
      <c r="P96" s="66"/>
      <c r="Q96" s="65"/>
      <c r="R96" s="65"/>
      <c r="S96" s="67"/>
      <c r="T96" s="42"/>
      <c r="U96" s="42"/>
      <c r="V96" s="42"/>
      <c r="W96" s="42"/>
      <c r="X96" s="42"/>
      <c r="Y96" s="42"/>
    </row>
    <row r="97" ht="14.25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8"/>
      <c r="O97" s="48"/>
      <c r="P97" s="55"/>
      <c r="Q97" s="48"/>
      <c r="R97" s="48"/>
      <c r="S97" s="48"/>
      <c r="T97" s="42"/>
      <c r="U97" s="42"/>
      <c r="V97" s="42"/>
      <c r="W97" s="42"/>
      <c r="X97" s="42"/>
      <c r="Y97" s="42"/>
    </row>
    <row r="98" ht="14.25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8"/>
      <c r="O98" s="48"/>
      <c r="P98" s="55"/>
      <c r="Q98" s="48"/>
      <c r="R98" s="48"/>
      <c r="S98" s="48"/>
      <c r="T98" s="42"/>
      <c r="U98" s="42"/>
      <c r="V98" s="42"/>
      <c r="W98" s="42"/>
      <c r="X98" s="42"/>
      <c r="Y98" s="42"/>
    </row>
    <row r="99" ht="14.25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8"/>
      <c r="O99" s="48"/>
      <c r="P99" s="55"/>
      <c r="Q99" s="48"/>
      <c r="R99" s="48"/>
      <c r="S99" s="48"/>
      <c r="T99" s="42"/>
      <c r="U99" s="42"/>
      <c r="V99" s="42"/>
      <c r="W99" s="42"/>
      <c r="X99" s="42"/>
      <c r="Y99" s="42"/>
    </row>
    <row r="100" ht="14.25" customHeight="1">
      <c r="K100" s="42"/>
      <c r="L100" s="42"/>
      <c r="M100" s="48"/>
      <c r="N100" s="48"/>
      <c r="O100" s="48"/>
      <c r="P100" s="55"/>
      <c r="Q100" s="48"/>
      <c r="R100" s="48"/>
      <c r="S100" s="48"/>
    </row>
    <row r="101" ht="14.25" customHeight="1">
      <c r="K101" s="42"/>
      <c r="L101" s="42"/>
      <c r="M101" s="42"/>
      <c r="N101" s="48"/>
      <c r="O101" s="48"/>
      <c r="P101" s="55"/>
      <c r="Q101" s="48"/>
      <c r="R101" s="48"/>
      <c r="S101" s="48"/>
    </row>
    <row r="102" ht="14.25" customHeight="1">
      <c r="K102" s="42"/>
      <c r="L102" s="42"/>
      <c r="M102" s="42"/>
      <c r="N102" s="42"/>
      <c r="O102" s="42"/>
      <c r="P102" s="60"/>
      <c r="Q102" s="42"/>
      <c r="R102" s="42"/>
      <c r="S102" s="42"/>
    </row>
    <row r="103" ht="14.25" customHeight="1">
      <c r="K103" s="42"/>
      <c r="L103" s="42"/>
      <c r="M103" s="42"/>
      <c r="N103" s="42"/>
      <c r="O103" s="42"/>
      <c r="P103" s="60"/>
      <c r="Q103" s="42"/>
      <c r="R103" s="42"/>
      <c r="S103" s="42"/>
    </row>
    <row r="104" ht="14.25" customHeight="1">
      <c r="K104" s="42"/>
      <c r="L104" s="42"/>
      <c r="M104" s="42"/>
      <c r="N104" s="42"/>
      <c r="O104" s="42"/>
      <c r="P104" s="60"/>
      <c r="Q104" s="42"/>
      <c r="R104" s="42"/>
      <c r="S104" s="42"/>
    </row>
    <row r="105" ht="14.25" customHeight="1">
      <c r="K105" s="42"/>
      <c r="L105" s="42"/>
      <c r="M105" s="42"/>
      <c r="N105" s="42"/>
      <c r="O105" s="42"/>
      <c r="P105" s="60"/>
      <c r="Q105" s="42"/>
      <c r="R105" s="42"/>
      <c r="S105" s="42"/>
    </row>
    <row r="106" ht="14.25" customHeight="1">
      <c r="K106" s="42"/>
      <c r="L106" s="42"/>
      <c r="M106" s="42"/>
      <c r="N106" s="42"/>
      <c r="O106" s="42"/>
      <c r="P106" s="60"/>
      <c r="Q106" s="42"/>
      <c r="R106" s="42"/>
      <c r="S106" s="42"/>
    </row>
    <row r="107" ht="14.25" customHeight="1">
      <c r="K107" s="42"/>
      <c r="L107" s="42"/>
      <c r="M107" s="42"/>
      <c r="N107" s="42"/>
      <c r="O107" s="42"/>
      <c r="P107" s="60"/>
      <c r="Q107" s="42"/>
      <c r="R107" s="42"/>
      <c r="S107" s="42"/>
    </row>
    <row r="108" ht="14.25" customHeight="1">
      <c r="K108" s="42"/>
      <c r="L108" s="42"/>
      <c r="M108" s="42"/>
      <c r="N108" s="42"/>
      <c r="O108" s="42"/>
      <c r="P108" s="60"/>
      <c r="Q108" s="42"/>
      <c r="R108" s="42"/>
      <c r="S108" s="42"/>
    </row>
    <row r="109" ht="14.25" customHeight="1">
      <c r="K109" s="42"/>
      <c r="L109" s="42"/>
      <c r="M109" s="42"/>
      <c r="N109" s="42"/>
      <c r="O109" s="42"/>
      <c r="P109" s="60"/>
      <c r="Q109" s="42"/>
      <c r="R109" s="42"/>
      <c r="S109" s="42"/>
    </row>
    <row r="110" ht="14.25" customHeight="1">
      <c r="K110" s="42"/>
      <c r="L110" s="42"/>
      <c r="M110" s="42"/>
      <c r="N110" s="42"/>
      <c r="O110" s="42"/>
      <c r="P110" s="60"/>
      <c r="Q110" s="42"/>
      <c r="R110" s="42"/>
      <c r="S110" s="42"/>
    </row>
    <row r="111" ht="14.25" customHeight="1">
      <c r="K111" s="42"/>
      <c r="L111" s="42"/>
      <c r="M111" s="42"/>
      <c r="N111" s="42"/>
      <c r="O111" s="42"/>
      <c r="P111" s="60"/>
      <c r="Q111" s="42"/>
      <c r="R111" s="42"/>
      <c r="S111" s="42"/>
    </row>
    <row r="112" ht="14.25" customHeight="1">
      <c r="K112" s="42"/>
      <c r="L112" s="42"/>
      <c r="M112" s="42"/>
      <c r="N112" s="42"/>
      <c r="O112" s="42"/>
      <c r="P112" s="60"/>
      <c r="Q112" s="42"/>
      <c r="R112" s="42"/>
      <c r="S112" s="42"/>
    </row>
    <row r="113" ht="14.25" customHeight="1">
      <c r="K113" s="42"/>
      <c r="L113" s="42"/>
      <c r="M113" s="42"/>
      <c r="N113" s="42"/>
      <c r="O113" s="42"/>
      <c r="P113" s="60"/>
      <c r="Q113" s="42"/>
      <c r="R113" s="42"/>
      <c r="S113" s="42"/>
    </row>
    <row r="114" ht="14.25" customHeight="1">
      <c r="K114" s="42"/>
      <c r="L114" s="42"/>
      <c r="M114" s="42"/>
      <c r="N114" s="42"/>
      <c r="O114" s="42"/>
      <c r="P114" s="60"/>
      <c r="Q114" s="42"/>
      <c r="R114" s="42"/>
      <c r="S114" s="42"/>
    </row>
    <row r="115" ht="14.25" customHeight="1">
      <c r="K115" s="42"/>
      <c r="L115" s="42"/>
      <c r="M115" s="42"/>
      <c r="N115" s="42"/>
      <c r="O115" s="42"/>
      <c r="P115" s="60"/>
      <c r="Q115" s="42"/>
      <c r="R115" s="42"/>
      <c r="S115" s="42"/>
    </row>
    <row r="116" ht="14.25" customHeight="1">
      <c r="K116" s="42"/>
      <c r="L116" s="42"/>
      <c r="M116" s="42"/>
      <c r="N116" s="42"/>
      <c r="O116" s="42"/>
      <c r="P116" s="60"/>
      <c r="Q116" s="42"/>
      <c r="R116" s="42"/>
      <c r="S116" s="42"/>
    </row>
    <row r="117" ht="14.25" customHeight="1">
      <c r="K117" s="42"/>
      <c r="L117" s="42"/>
      <c r="M117" s="42"/>
      <c r="N117" s="42"/>
      <c r="O117" s="42"/>
      <c r="P117" s="60"/>
      <c r="Q117" s="42"/>
      <c r="R117" s="42"/>
      <c r="S117" s="42"/>
    </row>
    <row r="118" ht="14.25" customHeight="1">
      <c r="K118" s="42"/>
      <c r="L118" s="42"/>
      <c r="M118" s="42"/>
      <c r="N118" s="42"/>
      <c r="O118" s="42"/>
      <c r="P118" s="60"/>
      <c r="Q118" s="42"/>
      <c r="R118" s="42"/>
      <c r="S118" s="42"/>
    </row>
    <row r="119" ht="14.25" customHeight="1">
      <c r="K119" s="42"/>
      <c r="L119" s="42"/>
      <c r="M119" s="42"/>
      <c r="N119" s="42"/>
      <c r="O119" s="42"/>
      <c r="P119" s="60"/>
      <c r="Q119" s="42"/>
      <c r="R119" s="42"/>
      <c r="S119" s="42"/>
    </row>
    <row r="120" ht="14.25" customHeight="1">
      <c r="K120" s="42"/>
      <c r="L120" s="42"/>
      <c r="M120" s="42"/>
      <c r="N120" s="42"/>
      <c r="O120" s="42"/>
      <c r="P120" s="60"/>
      <c r="Q120" s="42"/>
      <c r="R120" s="42"/>
      <c r="S120" s="42"/>
    </row>
    <row r="121" ht="14.25" customHeight="1">
      <c r="K121" s="42"/>
      <c r="L121" s="42"/>
      <c r="M121" s="42"/>
      <c r="N121" s="42"/>
      <c r="O121" s="42"/>
      <c r="P121" s="60"/>
      <c r="Q121" s="42"/>
      <c r="R121" s="42"/>
      <c r="S121" s="42"/>
    </row>
    <row r="122" ht="14.25" customHeight="1">
      <c r="K122" s="42"/>
      <c r="L122" s="42"/>
      <c r="M122" s="42"/>
      <c r="N122" s="42"/>
      <c r="O122" s="42"/>
      <c r="P122" s="60"/>
      <c r="Q122" s="42"/>
      <c r="R122" s="42"/>
      <c r="S122" s="42"/>
    </row>
    <row r="123" ht="14.25" customHeight="1">
      <c r="K123" s="42"/>
      <c r="L123" s="42"/>
      <c r="M123" s="42"/>
      <c r="N123" s="42"/>
      <c r="O123" s="42"/>
      <c r="P123" s="60"/>
      <c r="Q123" s="42"/>
      <c r="R123" s="42"/>
      <c r="S123" s="42"/>
    </row>
    <row r="124" ht="14.25" customHeight="1">
      <c r="K124" s="42"/>
      <c r="L124" s="42"/>
      <c r="M124" s="42"/>
      <c r="N124" s="42"/>
      <c r="O124" s="42"/>
      <c r="P124" s="60"/>
      <c r="Q124" s="42"/>
      <c r="R124" s="42"/>
      <c r="S124" s="42"/>
    </row>
    <row r="125" ht="14.25" customHeight="1">
      <c r="K125" s="42"/>
      <c r="L125" s="42"/>
      <c r="M125" s="42"/>
      <c r="N125" s="42"/>
      <c r="O125" s="42"/>
      <c r="P125" s="60"/>
      <c r="Q125" s="42"/>
      <c r="R125" s="42"/>
      <c r="S125" s="42"/>
    </row>
    <row r="126" ht="14.25" customHeight="1">
      <c r="K126" s="42"/>
      <c r="L126" s="42"/>
      <c r="M126" s="42"/>
      <c r="N126" s="42"/>
      <c r="O126" s="42"/>
      <c r="P126" s="60"/>
      <c r="Q126" s="42"/>
      <c r="R126" s="42"/>
      <c r="S126" s="42"/>
    </row>
    <row r="127" ht="14.25" customHeight="1">
      <c r="K127" s="42"/>
      <c r="L127" s="42"/>
      <c r="M127" s="42"/>
      <c r="N127" s="42"/>
      <c r="O127" s="42"/>
      <c r="P127" s="60"/>
      <c r="Q127" s="42"/>
      <c r="R127" s="42"/>
      <c r="S127" s="42"/>
    </row>
    <row r="128" ht="14.25" customHeight="1">
      <c r="K128" s="42"/>
      <c r="L128" s="42"/>
      <c r="M128" s="42"/>
      <c r="N128" s="42"/>
      <c r="O128" s="42"/>
      <c r="P128" s="60"/>
      <c r="Q128" s="42"/>
      <c r="R128" s="42"/>
      <c r="S128" s="42"/>
    </row>
    <row r="129" ht="14.25" customHeight="1">
      <c r="K129" s="42"/>
      <c r="L129" s="42"/>
      <c r="M129" s="42"/>
      <c r="N129" s="42"/>
      <c r="O129" s="42"/>
      <c r="P129" s="60"/>
      <c r="Q129" s="42"/>
      <c r="R129" s="42"/>
      <c r="S129" s="42"/>
    </row>
    <row r="130" ht="14.25" customHeight="1">
      <c r="K130" s="42"/>
      <c r="L130" s="42"/>
      <c r="M130" s="42"/>
      <c r="N130" s="42"/>
      <c r="O130" s="42"/>
      <c r="P130" s="60"/>
      <c r="Q130" s="42"/>
      <c r="R130" s="42"/>
      <c r="S130" s="42"/>
    </row>
    <row r="131" ht="14.25" customHeight="1">
      <c r="K131" s="42"/>
      <c r="L131" s="42"/>
      <c r="M131" s="42"/>
      <c r="N131" s="42"/>
      <c r="O131" s="42"/>
      <c r="P131" s="60"/>
      <c r="Q131" s="42"/>
      <c r="R131" s="42"/>
      <c r="S131" s="42"/>
    </row>
    <row r="132" ht="14.25" customHeight="1">
      <c r="K132" s="42"/>
      <c r="L132" s="42"/>
      <c r="M132" s="42"/>
      <c r="N132" s="42"/>
      <c r="O132" s="42"/>
      <c r="P132" s="60"/>
      <c r="Q132" s="42"/>
      <c r="R132" s="42"/>
      <c r="S132" s="42"/>
    </row>
    <row r="133" ht="14.25" customHeight="1">
      <c r="K133" s="42"/>
      <c r="L133" s="42"/>
      <c r="M133" s="42"/>
      <c r="N133" s="42"/>
      <c r="O133" s="42"/>
      <c r="P133" s="60"/>
      <c r="Q133" s="42"/>
      <c r="R133" s="42"/>
      <c r="S133" s="42"/>
    </row>
    <row r="134" ht="14.25" customHeight="1">
      <c r="K134" s="42"/>
      <c r="L134" s="42"/>
      <c r="M134" s="42"/>
      <c r="N134" s="42"/>
      <c r="O134" s="42"/>
      <c r="P134" s="60"/>
      <c r="Q134" s="42"/>
      <c r="R134" s="42"/>
      <c r="S134" s="42"/>
    </row>
    <row r="135" ht="14.25" customHeight="1">
      <c r="K135" s="42"/>
      <c r="L135" s="42"/>
      <c r="M135" s="42"/>
      <c r="N135" s="42"/>
      <c r="O135" s="42"/>
      <c r="P135" s="60"/>
      <c r="Q135" s="42"/>
      <c r="R135" s="42"/>
      <c r="S135" s="42"/>
    </row>
    <row r="136" ht="14.25" customHeight="1">
      <c r="K136" s="42"/>
      <c r="L136" s="42"/>
      <c r="M136" s="42"/>
      <c r="N136" s="42"/>
      <c r="O136" s="42"/>
      <c r="P136" s="60"/>
      <c r="Q136" s="42"/>
      <c r="R136" s="42"/>
      <c r="S136" s="42"/>
    </row>
    <row r="137" ht="14.25" customHeight="1">
      <c r="K137" s="42"/>
      <c r="L137" s="42"/>
      <c r="M137" s="42"/>
      <c r="N137" s="42"/>
      <c r="O137" s="42"/>
      <c r="P137" s="60"/>
      <c r="Q137" s="42"/>
      <c r="R137" s="42"/>
      <c r="S137" s="42"/>
    </row>
    <row r="138" ht="14.25" customHeight="1">
      <c r="K138" s="42"/>
      <c r="L138" s="42"/>
      <c r="M138" s="42"/>
      <c r="N138" s="42"/>
      <c r="O138" s="42"/>
      <c r="P138" s="60"/>
      <c r="Q138" s="42"/>
      <c r="R138" s="42"/>
      <c r="S138" s="42"/>
    </row>
    <row r="139" ht="14.25" customHeight="1">
      <c r="K139" s="42"/>
      <c r="L139" s="42"/>
      <c r="M139" s="42"/>
      <c r="N139" s="42"/>
      <c r="O139" s="42"/>
      <c r="P139" s="60"/>
      <c r="Q139" s="42"/>
      <c r="R139" s="42"/>
      <c r="S139" s="42"/>
    </row>
    <row r="140" ht="14.25" customHeight="1">
      <c r="K140" s="42"/>
      <c r="L140" s="42"/>
      <c r="M140" s="42"/>
      <c r="N140" s="42"/>
      <c r="O140" s="42"/>
      <c r="P140" s="60"/>
      <c r="Q140" s="42"/>
      <c r="R140" s="42"/>
      <c r="S140" s="42"/>
    </row>
    <row r="141" ht="14.25" customHeight="1">
      <c r="K141" s="42"/>
      <c r="L141" s="42"/>
      <c r="M141" s="42"/>
      <c r="N141" s="42"/>
      <c r="O141" s="42"/>
      <c r="P141" s="60"/>
      <c r="Q141" s="42"/>
      <c r="R141" s="42"/>
      <c r="S141" s="42"/>
    </row>
    <row r="142" ht="14.25" customHeight="1">
      <c r="K142" s="42"/>
      <c r="L142" s="42"/>
      <c r="M142" s="42"/>
      <c r="N142" s="42"/>
      <c r="O142" s="42"/>
      <c r="P142" s="60"/>
      <c r="Q142" s="42"/>
      <c r="R142" s="42"/>
      <c r="S142" s="42"/>
    </row>
    <row r="143" ht="14.25" customHeight="1">
      <c r="K143" s="42"/>
      <c r="L143" s="42"/>
      <c r="M143" s="42"/>
      <c r="N143" s="42"/>
      <c r="O143" s="42"/>
      <c r="P143" s="60"/>
      <c r="Q143" s="42"/>
      <c r="R143" s="42"/>
      <c r="S143" s="42"/>
    </row>
    <row r="144" ht="14.25" customHeight="1">
      <c r="K144" s="42"/>
      <c r="L144" s="42"/>
      <c r="M144" s="42"/>
      <c r="N144" s="42"/>
      <c r="O144" s="42"/>
      <c r="P144" s="60"/>
      <c r="Q144" s="42"/>
      <c r="R144" s="42"/>
      <c r="S144" s="42"/>
    </row>
    <row r="145" ht="14.25" customHeight="1">
      <c r="K145" s="42"/>
      <c r="L145" s="42"/>
      <c r="M145" s="42"/>
      <c r="N145" s="42"/>
      <c r="O145" s="42"/>
      <c r="P145" s="60"/>
      <c r="Q145" s="42"/>
      <c r="R145" s="42"/>
      <c r="S145" s="42"/>
    </row>
    <row r="146" ht="14.25" customHeight="1">
      <c r="K146" s="42"/>
      <c r="L146" s="42"/>
      <c r="M146" s="42"/>
      <c r="N146" s="42"/>
      <c r="O146" s="42"/>
      <c r="P146" s="60"/>
      <c r="Q146" s="42"/>
      <c r="R146" s="42"/>
      <c r="S146" s="42"/>
    </row>
    <row r="147" ht="14.25" customHeight="1">
      <c r="K147" s="42"/>
      <c r="L147" s="42"/>
      <c r="M147" s="42"/>
      <c r="N147" s="42"/>
      <c r="O147" s="42"/>
      <c r="P147" s="60"/>
      <c r="Q147" s="42"/>
      <c r="R147" s="42"/>
      <c r="S147" s="42"/>
    </row>
    <row r="148" ht="14.25" customHeight="1">
      <c r="K148" s="42"/>
      <c r="L148" s="42"/>
      <c r="M148" s="42"/>
      <c r="N148" s="42"/>
      <c r="O148" s="42"/>
      <c r="P148" s="60"/>
      <c r="Q148" s="42"/>
      <c r="R148" s="42"/>
      <c r="S148" s="42"/>
    </row>
    <row r="149" ht="14.25" customHeight="1">
      <c r="K149" s="42"/>
      <c r="L149" s="42"/>
      <c r="M149" s="42"/>
      <c r="N149" s="42"/>
      <c r="O149" s="42"/>
      <c r="P149" s="60"/>
      <c r="Q149" s="42"/>
      <c r="R149" s="42"/>
      <c r="S149" s="42"/>
    </row>
    <row r="150" ht="14.25" customHeight="1">
      <c r="K150" s="42"/>
      <c r="L150" s="42"/>
      <c r="M150" s="42"/>
      <c r="N150" s="42"/>
      <c r="O150" s="42"/>
      <c r="P150" s="60"/>
      <c r="Q150" s="42"/>
      <c r="R150" s="42"/>
      <c r="S150" s="42"/>
    </row>
    <row r="151" ht="14.25" customHeight="1">
      <c r="K151" s="42"/>
      <c r="L151" s="42"/>
      <c r="M151" s="42"/>
      <c r="N151" s="42"/>
      <c r="O151" s="42"/>
      <c r="P151" s="60"/>
      <c r="Q151" s="42"/>
      <c r="R151" s="42"/>
      <c r="S151" s="42"/>
    </row>
    <row r="152" ht="14.25" customHeight="1">
      <c r="K152" s="42"/>
      <c r="L152" s="42"/>
      <c r="M152" s="42"/>
      <c r="N152" s="42"/>
      <c r="O152" s="42"/>
      <c r="P152" s="60"/>
      <c r="Q152" s="42"/>
      <c r="R152" s="42"/>
      <c r="S152" s="42"/>
    </row>
    <row r="153" ht="14.25" customHeight="1">
      <c r="K153" s="42"/>
      <c r="L153" s="42"/>
      <c r="M153" s="42"/>
      <c r="N153" s="42"/>
      <c r="O153" s="42"/>
      <c r="P153" s="60"/>
      <c r="Q153" s="42"/>
      <c r="R153" s="42"/>
      <c r="S153" s="42"/>
    </row>
    <row r="154" ht="14.25" customHeight="1">
      <c r="K154" s="42"/>
      <c r="L154" s="42"/>
      <c r="M154" s="42"/>
      <c r="N154" s="42"/>
      <c r="O154" s="42"/>
      <c r="P154" s="60"/>
      <c r="Q154" s="42"/>
      <c r="R154" s="42"/>
      <c r="S154" s="42"/>
    </row>
    <row r="155" ht="14.25" customHeight="1">
      <c r="K155" s="42"/>
      <c r="L155" s="42"/>
      <c r="M155" s="42"/>
      <c r="N155" s="42"/>
      <c r="O155" s="42"/>
      <c r="P155" s="60"/>
      <c r="Q155" s="42"/>
      <c r="R155" s="42"/>
      <c r="S155" s="42"/>
    </row>
    <row r="156" ht="14.25" customHeight="1">
      <c r="K156" s="42"/>
      <c r="L156" s="42"/>
      <c r="M156" s="42"/>
      <c r="N156" s="42"/>
      <c r="O156" s="42"/>
      <c r="P156" s="60"/>
      <c r="Q156" s="42"/>
      <c r="R156" s="42"/>
      <c r="S156" s="42"/>
    </row>
    <row r="157" ht="14.25" customHeight="1">
      <c r="K157" s="42"/>
      <c r="L157" s="42"/>
      <c r="M157" s="42"/>
      <c r="N157" s="42"/>
      <c r="O157" s="42"/>
      <c r="P157" s="60"/>
      <c r="Q157" s="42"/>
      <c r="R157" s="42"/>
      <c r="S157" s="42"/>
    </row>
    <row r="158" ht="14.25" customHeight="1">
      <c r="K158" s="42"/>
      <c r="L158" s="42"/>
      <c r="M158" s="42"/>
      <c r="N158" s="42"/>
      <c r="O158" s="42"/>
      <c r="P158" s="60"/>
      <c r="Q158" s="42"/>
      <c r="R158" s="42"/>
      <c r="S158" s="42"/>
    </row>
    <row r="159" ht="14.25" customHeight="1">
      <c r="K159" s="42"/>
      <c r="L159" s="42"/>
      <c r="M159" s="42"/>
      <c r="N159" s="42"/>
      <c r="O159" s="42"/>
      <c r="P159" s="60"/>
      <c r="Q159" s="42"/>
      <c r="R159" s="42"/>
      <c r="S159" s="42"/>
    </row>
    <row r="160" ht="14.25" customHeight="1">
      <c r="K160" s="42"/>
      <c r="L160" s="42"/>
      <c r="M160" s="42"/>
      <c r="N160" s="42"/>
      <c r="O160" s="42"/>
      <c r="P160" s="60"/>
      <c r="Q160" s="42"/>
      <c r="R160" s="42"/>
      <c r="S160" s="42"/>
    </row>
    <row r="161" ht="14.25" customHeight="1">
      <c r="K161" s="42"/>
      <c r="L161" s="42"/>
      <c r="M161" s="42"/>
      <c r="N161" s="42"/>
      <c r="O161" s="42"/>
      <c r="P161" s="60"/>
      <c r="Q161" s="42"/>
      <c r="R161" s="42"/>
      <c r="S161" s="42"/>
    </row>
    <row r="162" ht="14.25" customHeight="1">
      <c r="K162" s="42"/>
      <c r="L162" s="42"/>
      <c r="M162" s="42"/>
      <c r="N162" s="42"/>
      <c r="O162" s="42"/>
      <c r="P162" s="60"/>
      <c r="Q162" s="42"/>
      <c r="R162" s="42"/>
      <c r="S162" s="42"/>
    </row>
    <row r="163" ht="14.25" customHeight="1">
      <c r="K163" s="42"/>
      <c r="L163" s="42"/>
      <c r="M163" s="42"/>
      <c r="N163" s="42"/>
      <c r="O163" s="42"/>
      <c r="P163" s="60"/>
      <c r="Q163" s="42"/>
      <c r="R163" s="42"/>
      <c r="S163" s="42"/>
    </row>
    <row r="164" ht="14.25" customHeight="1">
      <c r="K164" s="42"/>
      <c r="L164" s="42"/>
      <c r="M164" s="42"/>
      <c r="N164" s="42"/>
      <c r="O164" s="42"/>
      <c r="P164" s="60"/>
      <c r="Q164" s="42"/>
      <c r="R164" s="42"/>
      <c r="S164" s="42"/>
    </row>
    <row r="165" ht="14.25" customHeight="1">
      <c r="K165" s="42"/>
      <c r="L165" s="42"/>
      <c r="M165" s="42"/>
      <c r="N165" s="42"/>
      <c r="O165" s="42"/>
      <c r="P165" s="60"/>
      <c r="Q165" s="42"/>
      <c r="R165" s="42"/>
      <c r="S165" s="42"/>
    </row>
    <row r="166" ht="14.25" customHeight="1">
      <c r="K166" s="42"/>
      <c r="L166" s="42"/>
      <c r="M166" s="42"/>
      <c r="N166" s="42"/>
      <c r="O166" s="42"/>
      <c r="P166" s="60"/>
      <c r="Q166" s="42"/>
      <c r="R166" s="42"/>
      <c r="S166" s="42"/>
    </row>
    <row r="167" ht="14.25" customHeight="1">
      <c r="K167" s="42"/>
      <c r="L167" s="42"/>
      <c r="M167" s="42"/>
      <c r="N167" s="42"/>
      <c r="O167" s="42"/>
      <c r="P167" s="60"/>
      <c r="Q167" s="42"/>
      <c r="R167" s="42"/>
      <c r="S167" s="42"/>
    </row>
    <row r="168" ht="14.25" customHeight="1">
      <c r="K168" s="42"/>
      <c r="L168" s="42"/>
      <c r="M168" s="42"/>
      <c r="N168" s="42"/>
      <c r="O168" s="42"/>
      <c r="P168" s="60"/>
      <c r="Q168" s="42"/>
      <c r="R168" s="42"/>
      <c r="S168" s="42"/>
    </row>
    <row r="169" ht="14.25" customHeight="1">
      <c r="K169" s="42"/>
      <c r="L169" s="42"/>
      <c r="M169" s="42"/>
      <c r="N169" s="42"/>
      <c r="O169" s="42"/>
      <c r="P169" s="60"/>
      <c r="Q169" s="42"/>
      <c r="R169" s="42"/>
      <c r="S169" s="42"/>
    </row>
    <row r="170" ht="14.25" customHeight="1">
      <c r="K170" s="42"/>
      <c r="L170" s="42"/>
      <c r="M170" s="42"/>
      <c r="N170" s="42"/>
      <c r="O170" s="42"/>
      <c r="P170" s="60"/>
      <c r="Q170" s="42"/>
      <c r="R170" s="42"/>
      <c r="S170" s="42"/>
    </row>
    <row r="171" ht="14.25" customHeight="1">
      <c r="K171" s="42"/>
      <c r="L171" s="42"/>
      <c r="M171" s="42"/>
      <c r="N171" s="42"/>
      <c r="O171" s="42"/>
      <c r="P171" s="60"/>
      <c r="Q171" s="42"/>
      <c r="R171" s="42"/>
      <c r="S171" s="42"/>
    </row>
    <row r="172" ht="14.25" customHeight="1">
      <c r="K172" s="42"/>
      <c r="L172" s="42"/>
      <c r="M172" s="42"/>
      <c r="N172" s="42"/>
      <c r="O172" s="42"/>
      <c r="P172" s="60"/>
      <c r="Q172" s="42"/>
      <c r="R172" s="42"/>
      <c r="S172" s="42"/>
    </row>
    <row r="173" ht="14.25" customHeight="1">
      <c r="K173" s="42"/>
      <c r="L173" s="42"/>
      <c r="M173" s="42"/>
      <c r="N173" s="42"/>
      <c r="O173" s="42"/>
      <c r="P173" s="60"/>
      <c r="Q173" s="42"/>
      <c r="R173" s="42"/>
      <c r="S173" s="42"/>
    </row>
    <row r="174" ht="14.25" customHeight="1">
      <c r="K174" s="42"/>
      <c r="L174" s="42"/>
      <c r="M174" s="42"/>
      <c r="N174" s="42"/>
      <c r="O174" s="42"/>
      <c r="P174" s="60"/>
      <c r="Q174" s="42"/>
      <c r="R174" s="42"/>
      <c r="S174" s="42"/>
    </row>
    <row r="175" ht="14.25" customHeight="1">
      <c r="K175" s="42"/>
      <c r="L175" s="42"/>
      <c r="M175" s="42"/>
      <c r="N175" s="42"/>
      <c r="O175" s="42"/>
      <c r="P175" s="60"/>
      <c r="Q175" s="42"/>
      <c r="R175" s="42"/>
      <c r="S175" s="42"/>
    </row>
    <row r="176" ht="14.25" customHeight="1">
      <c r="K176" s="42"/>
      <c r="L176" s="42"/>
      <c r="M176" s="42"/>
      <c r="N176" s="42"/>
      <c r="O176" s="42"/>
      <c r="P176" s="60"/>
      <c r="Q176" s="42"/>
      <c r="R176" s="42"/>
      <c r="S176" s="42"/>
    </row>
    <row r="177" ht="14.25" customHeight="1">
      <c r="K177" s="42"/>
      <c r="L177" s="42"/>
      <c r="M177" s="42"/>
      <c r="N177" s="42"/>
      <c r="O177" s="42"/>
      <c r="P177" s="60"/>
      <c r="Q177" s="42"/>
      <c r="R177" s="42"/>
      <c r="S177" s="42"/>
    </row>
    <row r="178" ht="14.25" customHeight="1">
      <c r="K178" s="42"/>
      <c r="L178" s="42"/>
      <c r="M178" s="42"/>
      <c r="N178" s="42"/>
      <c r="O178" s="42"/>
      <c r="P178" s="60"/>
      <c r="Q178" s="42"/>
      <c r="R178" s="42"/>
      <c r="S178" s="42"/>
    </row>
    <row r="179" ht="14.25" customHeight="1">
      <c r="K179" s="42"/>
      <c r="L179" s="42"/>
      <c r="M179" s="42"/>
      <c r="N179" s="42"/>
      <c r="O179" s="42"/>
      <c r="P179" s="60"/>
      <c r="Q179" s="42"/>
      <c r="R179" s="42"/>
      <c r="S179" s="42"/>
    </row>
    <row r="180" ht="14.25" customHeight="1">
      <c r="K180" s="42"/>
      <c r="L180" s="42"/>
      <c r="M180" s="42"/>
      <c r="N180" s="42"/>
      <c r="O180" s="42"/>
      <c r="P180" s="60"/>
      <c r="Q180" s="42"/>
      <c r="R180" s="42"/>
      <c r="S180" s="42"/>
    </row>
    <row r="181" ht="14.25" customHeight="1">
      <c r="K181" s="42"/>
      <c r="L181" s="42"/>
      <c r="M181" s="42"/>
      <c r="N181" s="42"/>
      <c r="O181" s="42"/>
      <c r="P181" s="60"/>
      <c r="Q181" s="42"/>
      <c r="R181" s="42"/>
      <c r="S181" s="42"/>
    </row>
    <row r="182" ht="14.25" customHeight="1">
      <c r="K182" s="42"/>
      <c r="L182" s="42"/>
      <c r="M182" s="42"/>
      <c r="N182" s="42"/>
      <c r="O182" s="42"/>
      <c r="P182" s="60"/>
      <c r="Q182" s="42"/>
      <c r="R182" s="42"/>
      <c r="S182" s="42"/>
    </row>
    <row r="183" ht="14.25" customHeight="1">
      <c r="K183" s="42"/>
      <c r="L183" s="42"/>
      <c r="M183" s="42"/>
      <c r="N183" s="42"/>
      <c r="O183" s="42"/>
      <c r="P183" s="60"/>
      <c r="Q183" s="42"/>
      <c r="R183" s="42"/>
      <c r="S183" s="42"/>
    </row>
    <row r="184" ht="14.25" customHeight="1">
      <c r="K184" s="42"/>
      <c r="L184" s="42"/>
      <c r="M184" s="42"/>
      <c r="N184" s="42"/>
      <c r="O184" s="42"/>
      <c r="P184" s="60"/>
      <c r="Q184" s="42"/>
      <c r="R184" s="42"/>
      <c r="S184" s="42"/>
    </row>
    <row r="185" ht="14.25" customHeight="1">
      <c r="K185" s="42"/>
      <c r="L185" s="42"/>
      <c r="M185" s="42"/>
      <c r="N185" s="42"/>
      <c r="O185" s="42"/>
      <c r="P185" s="60"/>
      <c r="Q185" s="42"/>
      <c r="R185" s="42"/>
      <c r="S185" s="42"/>
    </row>
    <row r="186" ht="14.25" customHeight="1">
      <c r="K186" s="42"/>
      <c r="L186" s="42"/>
      <c r="M186" s="42"/>
      <c r="N186" s="42"/>
      <c r="O186" s="42"/>
      <c r="P186" s="60"/>
      <c r="Q186" s="42"/>
      <c r="R186" s="42"/>
      <c r="S186" s="42"/>
    </row>
    <row r="187" ht="14.25" customHeight="1">
      <c r="K187" s="42"/>
      <c r="L187" s="42"/>
      <c r="M187" s="42"/>
      <c r="N187" s="42"/>
      <c r="O187" s="42"/>
      <c r="P187" s="60"/>
      <c r="Q187" s="42"/>
      <c r="R187" s="42"/>
      <c r="S187" s="42"/>
    </row>
    <row r="188" ht="14.25" customHeight="1">
      <c r="K188" s="42"/>
      <c r="L188" s="42"/>
      <c r="M188" s="42"/>
      <c r="N188" s="42"/>
      <c r="O188" s="42"/>
      <c r="P188" s="60"/>
      <c r="Q188" s="42"/>
      <c r="R188" s="42"/>
      <c r="S188" s="42"/>
    </row>
    <row r="189" ht="14.25" customHeight="1">
      <c r="K189" s="42"/>
      <c r="L189" s="42"/>
      <c r="M189" s="42"/>
      <c r="N189" s="42"/>
      <c r="O189" s="42"/>
      <c r="P189" s="60"/>
      <c r="Q189" s="42"/>
      <c r="R189" s="42"/>
      <c r="S189" s="42"/>
    </row>
    <row r="190" ht="14.25" customHeight="1">
      <c r="K190" s="42"/>
      <c r="L190" s="42"/>
      <c r="M190" s="42"/>
      <c r="N190" s="42"/>
      <c r="O190" s="42"/>
      <c r="P190" s="60"/>
      <c r="Q190" s="42"/>
      <c r="R190" s="42"/>
      <c r="S190" s="42"/>
    </row>
    <row r="191" ht="14.25" customHeight="1">
      <c r="K191" s="42"/>
      <c r="L191" s="42"/>
      <c r="M191" s="42"/>
      <c r="N191" s="42"/>
      <c r="O191" s="42"/>
      <c r="P191" s="60"/>
      <c r="Q191" s="42"/>
      <c r="R191" s="42"/>
      <c r="S191" s="42"/>
    </row>
    <row r="192" ht="14.25" customHeight="1">
      <c r="K192" s="42"/>
      <c r="L192" s="42"/>
      <c r="M192" s="42"/>
      <c r="N192" s="42"/>
      <c r="O192" s="42"/>
      <c r="P192" s="60"/>
      <c r="Q192" s="42"/>
      <c r="R192" s="42"/>
      <c r="S192" s="42"/>
    </row>
    <row r="193" ht="14.25" customHeight="1">
      <c r="K193" s="42"/>
      <c r="L193" s="42"/>
      <c r="M193" s="42"/>
      <c r="N193" s="42"/>
      <c r="O193" s="42"/>
      <c r="P193" s="60"/>
      <c r="Q193" s="42"/>
      <c r="R193" s="42"/>
      <c r="S193" s="42"/>
    </row>
    <row r="194" ht="14.25" customHeight="1">
      <c r="K194" s="42"/>
      <c r="L194" s="42"/>
      <c r="M194" s="42"/>
      <c r="N194" s="42"/>
      <c r="O194" s="42"/>
      <c r="P194" s="60"/>
      <c r="Q194" s="42"/>
      <c r="R194" s="42"/>
      <c r="S194" s="42"/>
    </row>
    <row r="195" ht="14.25" customHeight="1">
      <c r="K195" s="42"/>
      <c r="L195" s="42"/>
      <c r="M195" s="42"/>
      <c r="N195" s="42"/>
      <c r="O195" s="42"/>
      <c r="P195" s="60"/>
      <c r="Q195" s="42"/>
      <c r="R195" s="42"/>
      <c r="S195" s="42"/>
    </row>
    <row r="196" ht="14.25" customHeight="1">
      <c r="K196" s="42"/>
      <c r="L196" s="42"/>
      <c r="M196" s="42"/>
      <c r="N196" s="42"/>
      <c r="O196" s="42"/>
      <c r="P196" s="60"/>
      <c r="Q196" s="42"/>
      <c r="R196" s="42"/>
      <c r="S196" s="42"/>
    </row>
    <row r="197" ht="14.25" customHeight="1">
      <c r="K197" s="42"/>
      <c r="L197" s="42"/>
      <c r="M197" s="42"/>
      <c r="N197" s="42"/>
      <c r="O197" s="42"/>
      <c r="P197" s="60"/>
      <c r="Q197" s="42"/>
      <c r="R197" s="42"/>
      <c r="S197" s="42"/>
    </row>
    <row r="198" ht="14.25" customHeight="1">
      <c r="K198" s="42"/>
      <c r="L198" s="42"/>
      <c r="M198" s="42"/>
      <c r="N198" s="42"/>
      <c r="O198" s="42"/>
      <c r="P198" s="60"/>
      <c r="Q198" s="42"/>
      <c r="R198" s="42"/>
      <c r="S198" s="42"/>
    </row>
    <row r="199" ht="14.25" customHeight="1">
      <c r="K199" s="42"/>
      <c r="L199" s="42"/>
      <c r="M199" s="42"/>
      <c r="N199" s="42"/>
      <c r="O199" s="42"/>
      <c r="P199" s="60"/>
      <c r="Q199" s="42"/>
      <c r="R199" s="42"/>
      <c r="S199" s="42"/>
    </row>
    <row r="200" ht="14.25" customHeight="1">
      <c r="K200" s="42"/>
      <c r="L200" s="42"/>
      <c r="M200" s="42"/>
      <c r="N200" s="42"/>
      <c r="O200" s="42"/>
      <c r="P200" s="60"/>
      <c r="Q200" s="42"/>
      <c r="R200" s="42"/>
      <c r="S200" s="42"/>
    </row>
    <row r="201" ht="14.25" customHeight="1">
      <c r="K201" s="42"/>
      <c r="L201" s="42"/>
      <c r="M201" s="42"/>
      <c r="N201" s="42"/>
      <c r="O201" s="42"/>
      <c r="P201" s="60"/>
      <c r="Q201" s="42"/>
      <c r="R201" s="42"/>
      <c r="S201" s="42"/>
    </row>
    <row r="202" ht="14.25" customHeight="1">
      <c r="K202" s="42"/>
      <c r="L202" s="42"/>
      <c r="M202" s="42"/>
      <c r="N202" s="42"/>
      <c r="O202" s="42"/>
      <c r="P202" s="60"/>
      <c r="Q202" s="42"/>
      <c r="R202" s="42"/>
      <c r="S202" s="42"/>
    </row>
    <row r="203" ht="14.25" customHeight="1">
      <c r="K203" s="42"/>
      <c r="L203" s="42"/>
      <c r="M203" s="42"/>
      <c r="N203" s="42"/>
      <c r="O203" s="42"/>
      <c r="P203" s="60"/>
      <c r="Q203" s="42"/>
      <c r="R203" s="42"/>
      <c r="S203" s="42"/>
    </row>
    <row r="204" ht="14.25" customHeight="1">
      <c r="K204" s="42"/>
      <c r="L204" s="42"/>
      <c r="M204" s="42"/>
      <c r="N204" s="42"/>
      <c r="O204" s="42"/>
      <c r="P204" s="60"/>
      <c r="Q204" s="42"/>
      <c r="R204" s="42"/>
      <c r="S204" s="42"/>
    </row>
    <row r="205" ht="14.25" customHeight="1">
      <c r="K205" s="42"/>
      <c r="L205" s="42"/>
      <c r="M205" s="42"/>
      <c r="N205" s="42"/>
      <c r="O205" s="42"/>
      <c r="P205" s="60"/>
      <c r="Q205" s="42"/>
      <c r="R205" s="42"/>
      <c r="S205" s="42"/>
    </row>
    <row r="206" ht="14.25" customHeight="1">
      <c r="K206" s="42"/>
      <c r="L206" s="42"/>
      <c r="M206" s="42"/>
      <c r="N206" s="42"/>
      <c r="O206" s="42"/>
      <c r="P206" s="60"/>
      <c r="Q206" s="42"/>
      <c r="R206" s="42"/>
      <c r="S206" s="42"/>
    </row>
    <row r="207" ht="14.25" customHeight="1">
      <c r="K207" s="42"/>
      <c r="L207" s="42"/>
      <c r="M207" s="42"/>
      <c r="N207" s="42"/>
      <c r="O207" s="42"/>
      <c r="P207" s="60"/>
      <c r="Q207" s="42"/>
      <c r="R207" s="42"/>
      <c r="S207" s="42"/>
    </row>
    <row r="208" ht="14.25" customHeight="1">
      <c r="K208" s="42"/>
      <c r="L208" s="42"/>
      <c r="M208" s="42"/>
      <c r="N208" s="42"/>
      <c r="O208" s="42"/>
      <c r="P208" s="60"/>
      <c r="Q208" s="42"/>
      <c r="R208" s="42"/>
      <c r="S208" s="42"/>
    </row>
    <row r="209" ht="14.25" customHeight="1">
      <c r="K209" s="42"/>
      <c r="L209" s="42"/>
      <c r="M209" s="42"/>
      <c r="N209" s="42"/>
      <c r="O209" s="42"/>
      <c r="P209" s="60"/>
      <c r="Q209" s="42"/>
      <c r="R209" s="42"/>
      <c r="S209" s="42"/>
    </row>
    <row r="210" ht="14.25" customHeight="1">
      <c r="K210" s="42"/>
      <c r="L210" s="42"/>
      <c r="M210" s="42"/>
      <c r="N210" s="42"/>
      <c r="O210" s="42"/>
      <c r="P210" s="60"/>
      <c r="Q210" s="42"/>
      <c r="R210" s="42"/>
      <c r="S210" s="42"/>
    </row>
    <row r="211" ht="14.25" customHeight="1">
      <c r="K211" s="42"/>
      <c r="L211" s="42"/>
      <c r="M211" s="42"/>
      <c r="N211" s="42"/>
      <c r="O211" s="42"/>
      <c r="P211" s="60"/>
      <c r="Q211" s="42"/>
      <c r="R211" s="42"/>
      <c r="S211" s="42"/>
    </row>
    <row r="212" ht="14.25" customHeight="1">
      <c r="K212" s="42"/>
      <c r="L212" s="42"/>
      <c r="M212" s="42"/>
      <c r="N212" s="42"/>
      <c r="O212" s="42"/>
      <c r="P212" s="60"/>
      <c r="Q212" s="42"/>
      <c r="R212" s="42"/>
      <c r="S212" s="42"/>
    </row>
    <row r="213" ht="14.25" customHeight="1">
      <c r="K213" s="42"/>
      <c r="L213" s="42"/>
      <c r="M213" s="42"/>
      <c r="N213" s="42"/>
      <c r="O213" s="42"/>
      <c r="P213" s="60"/>
      <c r="Q213" s="42"/>
      <c r="R213" s="42"/>
      <c r="S213" s="42"/>
    </row>
    <row r="214" ht="14.25" customHeight="1">
      <c r="K214" s="42"/>
      <c r="L214" s="42"/>
      <c r="M214" s="42"/>
      <c r="N214" s="42"/>
      <c r="O214" s="42"/>
      <c r="P214" s="60"/>
      <c r="Q214" s="42"/>
      <c r="R214" s="42"/>
      <c r="S214" s="42"/>
    </row>
    <row r="215" ht="14.25" customHeight="1">
      <c r="K215" s="42"/>
      <c r="L215" s="42"/>
      <c r="M215" s="42"/>
      <c r="N215" s="42"/>
      <c r="O215" s="42"/>
      <c r="P215" s="60"/>
      <c r="Q215" s="42"/>
      <c r="R215" s="42"/>
      <c r="S215" s="42"/>
    </row>
    <row r="216" ht="14.25" customHeight="1">
      <c r="K216" s="42"/>
      <c r="L216" s="42"/>
      <c r="M216" s="42"/>
      <c r="N216" s="42"/>
      <c r="O216" s="42"/>
      <c r="P216" s="60"/>
      <c r="Q216" s="42"/>
      <c r="R216" s="42"/>
      <c r="S216" s="42"/>
    </row>
    <row r="217" ht="14.25" customHeight="1">
      <c r="K217" s="42"/>
      <c r="L217" s="42"/>
      <c r="M217" s="42"/>
      <c r="N217" s="42"/>
      <c r="O217" s="42"/>
      <c r="P217" s="60"/>
      <c r="Q217" s="42"/>
      <c r="R217" s="42"/>
      <c r="S217" s="42"/>
    </row>
    <row r="218" ht="14.25" customHeight="1">
      <c r="K218" s="42"/>
      <c r="L218" s="42"/>
      <c r="M218" s="42"/>
      <c r="N218" s="42"/>
      <c r="O218" s="42"/>
      <c r="P218" s="60"/>
      <c r="Q218" s="42"/>
      <c r="R218" s="42"/>
      <c r="S218" s="42"/>
    </row>
    <row r="219" ht="14.25" customHeight="1">
      <c r="K219" s="42"/>
      <c r="L219" s="42"/>
      <c r="M219" s="42"/>
      <c r="N219" s="42"/>
      <c r="O219" s="42"/>
      <c r="P219" s="60"/>
      <c r="Q219" s="42"/>
      <c r="R219" s="42"/>
      <c r="S219" s="42"/>
    </row>
    <row r="220" ht="14.25" customHeight="1">
      <c r="K220" s="42"/>
      <c r="L220" s="42"/>
      <c r="M220" s="42"/>
      <c r="N220" s="42"/>
      <c r="O220" s="42"/>
      <c r="P220" s="60"/>
      <c r="Q220" s="42"/>
      <c r="R220" s="42"/>
      <c r="S220" s="42"/>
    </row>
    <row r="221" ht="14.25" customHeight="1">
      <c r="K221" s="42"/>
      <c r="L221" s="42"/>
      <c r="M221" s="42"/>
      <c r="N221" s="42"/>
      <c r="O221" s="42"/>
      <c r="P221" s="60"/>
      <c r="Q221" s="42"/>
      <c r="R221" s="42"/>
      <c r="S221" s="42"/>
    </row>
    <row r="222" ht="14.25" customHeight="1">
      <c r="K222" s="42"/>
      <c r="L222" s="42"/>
      <c r="M222" s="42"/>
      <c r="N222" s="42"/>
      <c r="O222" s="42"/>
      <c r="P222" s="60"/>
      <c r="Q222" s="42"/>
      <c r="R222" s="42"/>
      <c r="S222" s="42"/>
    </row>
    <row r="223" ht="14.25" customHeight="1">
      <c r="K223" s="42"/>
      <c r="L223" s="42"/>
      <c r="M223" s="42"/>
      <c r="N223" s="42"/>
      <c r="O223" s="42"/>
      <c r="P223" s="60"/>
      <c r="Q223" s="42"/>
      <c r="R223" s="42"/>
      <c r="S223" s="42"/>
    </row>
    <row r="224" ht="14.25" customHeight="1">
      <c r="K224" s="42"/>
      <c r="L224" s="42"/>
      <c r="M224" s="42"/>
      <c r="N224" s="42"/>
      <c r="O224" s="42"/>
      <c r="P224" s="60"/>
      <c r="Q224" s="42"/>
      <c r="R224" s="42"/>
      <c r="S224" s="42"/>
    </row>
    <row r="225" ht="14.25" customHeight="1">
      <c r="K225" s="42"/>
      <c r="L225" s="42"/>
      <c r="M225" s="42"/>
      <c r="N225" s="42"/>
      <c r="O225" s="42"/>
      <c r="P225" s="60"/>
      <c r="Q225" s="42"/>
      <c r="R225" s="42"/>
      <c r="S225" s="42"/>
    </row>
    <row r="226" ht="14.25" customHeight="1">
      <c r="K226" s="42"/>
      <c r="L226" s="42"/>
      <c r="M226" s="42"/>
      <c r="N226" s="42"/>
      <c r="O226" s="42"/>
      <c r="P226" s="60"/>
      <c r="Q226" s="42"/>
      <c r="R226" s="42"/>
      <c r="S226" s="42"/>
    </row>
    <row r="227" ht="14.25" customHeight="1">
      <c r="K227" s="42"/>
      <c r="L227" s="42"/>
      <c r="M227" s="42"/>
      <c r="N227" s="42"/>
      <c r="O227" s="42"/>
      <c r="P227" s="60"/>
      <c r="Q227" s="42"/>
      <c r="R227" s="42"/>
      <c r="S227" s="42"/>
    </row>
    <row r="228" ht="14.25" customHeight="1">
      <c r="K228" s="42"/>
      <c r="L228" s="42"/>
      <c r="M228" s="42"/>
      <c r="N228" s="42"/>
      <c r="O228" s="42"/>
      <c r="P228" s="60"/>
      <c r="Q228" s="42"/>
      <c r="R228" s="42"/>
      <c r="S228" s="42"/>
    </row>
    <row r="229" ht="14.25" customHeight="1">
      <c r="K229" s="42"/>
      <c r="L229" s="42"/>
      <c r="M229" s="42"/>
      <c r="N229" s="42"/>
      <c r="O229" s="42"/>
      <c r="P229" s="60"/>
      <c r="Q229" s="42"/>
      <c r="R229" s="42"/>
      <c r="S229" s="42"/>
    </row>
    <row r="230" ht="14.25" customHeight="1">
      <c r="K230" s="42"/>
      <c r="L230" s="42"/>
      <c r="M230" s="42"/>
      <c r="N230" s="42"/>
      <c r="O230" s="42"/>
      <c r="P230" s="60"/>
      <c r="Q230" s="42"/>
      <c r="R230" s="42"/>
      <c r="S230" s="42"/>
    </row>
    <row r="231" ht="14.25" customHeight="1">
      <c r="K231" s="42"/>
      <c r="L231" s="42"/>
      <c r="M231" s="42"/>
      <c r="N231" s="42"/>
      <c r="O231" s="42"/>
      <c r="P231" s="60"/>
      <c r="Q231" s="42"/>
      <c r="R231" s="42"/>
      <c r="S231" s="42"/>
    </row>
    <row r="232" ht="14.25" customHeight="1">
      <c r="K232" s="42"/>
      <c r="L232" s="42"/>
      <c r="M232" s="42"/>
      <c r="N232" s="42"/>
      <c r="O232" s="42"/>
      <c r="P232" s="60"/>
      <c r="Q232" s="42"/>
      <c r="R232" s="42"/>
      <c r="S232" s="42"/>
    </row>
    <row r="233" ht="14.25" customHeight="1">
      <c r="K233" s="42"/>
      <c r="L233" s="42"/>
      <c r="M233" s="42"/>
      <c r="N233" s="42"/>
      <c r="O233" s="42"/>
      <c r="P233" s="60"/>
      <c r="Q233" s="42"/>
      <c r="R233" s="42"/>
      <c r="S233" s="42"/>
    </row>
    <row r="234" ht="14.25" customHeight="1">
      <c r="K234" s="42"/>
      <c r="L234" s="42"/>
      <c r="M234" s="42"/>
      <c r="N234" s="42"/>
      <c r="O234" s="42"/>
      <c r="P234" s="60"/>
      <c r="Q234" s="42"/>
      <c r="R234" s="42"/>
      <c r="S234" s="42"/>
    </row>
    <row r="235" ht="14.25" customHeight="1">
      <c r="K235" s="42"/>
      <c r="L235" s="42"/>
      <c r="M235" s="42"/>
      <c r="N235" s="42"/>
      <c r="O235" s="42"/>
      <c r="P235" s="60"/>
      <c r="Q235" s="42"/>
      <c r="R235" s="42"/>
      <c r="S235" s="42"/>
    </row>
    <row r="236" ht="14.25" customHeight="1">
      <c r="K236" s="42"/>
      <c r="L236" s="42"/>
      <c r="M236" s="42"/>
      <c r="N236" s="42"/>
      <c r="O236" s="42"/>
      <c r="P236" s="60"/>
      <c r="Q236" s="42"/>
      <c r="R236" s="42"/>
      <c r="S236" s="42"/>
    </row>
    <row r="237" ht="14.25" customHeight="1">
      <c r="K237" s="42"/>
      <c r="L237" s="42"/>
      <c r="M237" s="42"/>
      <c r="N237" s="42"/>
      <c r="O237" s="42"/>
      <c r="P237" s="60"/>
      <c r="Q237" s="42"/>
      <c r="R237" s="42"/>
      <c r="S237" s="42"/>
    </row>
    <row r="238" ht="14.25" customHeight="1">
      <c r="K238" s="42"/>
      <c r="L238" s="42"/>
      <c r="M238" s="42"/>
      <c r="N238" s="42"/>
      <c r="O238" s="42"/>
      <c r="P238" s="60"/>
      <c r="Q238" s="42"/>
      <c r="R238" s="42"/>
      <c r="S238" s="42"/>
    </row>
    <row r="239" ht="14.25" customHeight="1">
      <c r="K239" s="42"/>
      <c r="L239" s="42"/>
      <c r="M239" s="42"/>
      <c r="N239" s="42"/>
      <c r="O239" s="42"/>
      <c r="P239" s="60"/>
      <c r="Q239" s="42"/>
      <c r="R239" s="42"/>
      <c r="S239" s="42"/>
    </row>
    <row r="240" ht="14.25" customHeight="1">
      <c r="K240" s="42"/>
      <c r="L240" s="42"/>
      <c r="M240" s="42"/>
      <c r="N240" s="42"/>
      <c r="O240" s="42"/>
      <c r="P240" s="60"/>
      <c r="Q240" s="42"/>
      <c r="R240" s="42"/>
      <c r="S240" s="42"/>
    </row>
    <row r="241" ht="14.25" customHeight="1">
      <c r="K241" s="42"/>
      <c r="L241" s="42"/>
      <c r="M241" s="42"/>
      <c r="N241" s="42"/>
      <c r="O241" s="42"/>
      <c r="P241" s="60"/>
      <c r="Q241" s="42"/>
      <c r="R241" s="42"/>
      <c r="S241" s="42"/>
    </row>
    <row r="242" ht="14.25" customHeight="1">
      <c r="K242" s="42"/>
      <c r="L242" s="42"/>
      <c r="M242" s="42"/>
      <c r="N242" s="42"/>
      <c r="O242" s="42"/>
      <c r="P242" s="60"/>
      <c r="Q242" s="42"/>
      <c r="R242" s="42"/>
      <c r="S242" s="42"/>
    </row>
    <row r="243" ht="14.25" customHeight="1">
      <c r="K243" s="42"/>
      <c r="L243" s="42"/>
      <c r="M243" s="42"/>
      <c r="N243" s="42"/>
      <c r="O243" s="42"/>
      <c r="P243" s="60"/>
      <c r="Q243" s="42"/>
      <c r="R243" s="42"/>
      <c r="S243" s="42"/>
    </row>
    <row r="244" ht="14.25" customHeight="1">
      <c r="K244" s="42"/>
      <c r="L244" s="42"/>
      <c r="M244" s="42"/>
      <c r="N244" s="42"/>
      <c r="O244" s="42"/>
      <c r="P244" s="60"/>
      <c r="Q244" s="42"/>
      <c r="R244" s="42"/>
      <c r="S244" s="42"/>
    </row>
    <row r="245" ht="14.25" customHeight="1">
      <c r="K245" s="42"/>
      <c r="L245" s="42"/>
      <c r="M245" s="42"/>
      <c r="N245" s="42"/>
      <c r="O245" s="42"/>
      <c r="P245" s="60"/>
      <c r="Q245" s="42"/>
      <c r="R245" s="42"/>
      <c r="S245" s="42"/>
    </row>
    <row r="246" ht="14.25" customHeight="1">
      <c r="K246" s="42"/>
      <c r="L246" s="42"/>
      <c r="M246" s="42"/>
      <c r="N246" s="42"/>
      <c r="O246" s="42"/>
      <c r="P246" s="60"/>
      <c r="Q246" s="42"/>
      <c r="R246" s="42"/>
      <c r="S246" s="42"/>
    </row>
    <row r="247" ht="14.25" customHeight="1">
      <c r="K247" s="42"/>
      <c r="L247" s="42"/>
      <c r="M247" s="42"/>
      <c r="N247" s="42"/>
      <c r="O247" s="42"/>
      <c r="P247" s="60"/>
      <c r="Q247" s="42"/>
      <c r="R247" s="42"/>
      <c r="S247" s="42"/>
    </row>
    <row r="248" ht="14.25" customHeight="1">
      <c r="K248" s="42"/>
      <c r="L248" s="42"/>
      <c r="M248" s="42"/>
      <c r="N248" s="42"/>
      <c r="O248" s="42"/>
      <c r="P248" s="60"/>
      <c r="Q248" s="42"/>
      <c r="R248" s="42"/>
      <c r="S248" s="42"/>
    </row>
    <row r="249" ht="14.25" customHeight="1">
      <c r="K249" s="42"/>
      <c r="L249" s="42"/>
      <c r="M249" s="42"/>
      <c r="N249" s="42"/>
      <c r="O249" s="42"/>
      <c r="P249" s="60"/>
      <c r="Q249" s="42"/>
      <c r="R249" s="42"/>
      <c r="S249" s="42"/>
    </row>
    <row r="250" ht="14.25" customHeight="1">
      <c r="K250" s="42"/>
      <c r="L250" s="42"/>
      <c r="M250" s="42"/>
      <c r="N250" s="42"/>
      <c r="O250" s="42"/>
      <c r="P250" s="60"/>
      <c r="Q250" s="42"/>
      <c r="R250" s="42"/>
      <c r="S250" s="42"/>
    </row>
    <row r="251" ht="14.25" customHeight="1">
      <c r="K251" s="42"/>
      <c r="L251" s="42"/>
      <c r="M251" s="42"/>
      <c r="N251" s="42"/>
      <c r="O251" s="42"/>
      <c r="P251" s="60"/>
      <c r="Q251" s="42"/>
      <c r="R251" s="42"/>
      <c r="S251" s="42"/>
    </row>
    <row r="252" ht="14.25" customHeight="1">
      <c r="K252" s="42"/>
      <c r="L252" s="42"/>
      <c r="M252" s="42"/>
      <c r="N252" s="42"/>
      <c r="O252" s="42"/>
      <c r="P252" s="60"/>
      <c r="Q252" s="42"/>
      <c r="R252" s="42"/>
      <c r="S252" s="42"/>
    </row>
    <row r="253" ht="14.25" customHeight="1">
      <c r="K253" s="42"/>
      <c r="L253" s="42"/>
      <c r="M253" s="42"/>
      <c r="N253" s="42"/>
      <c r="O253" s="42"/>
      <c r="P253" s="60"/>
      <c r="Q253" s="42"/>
      <c r="R253" s="42"/>
      <c r="S253" s="42"/>
    </row>
    <row r="254" ht="14.25" customHeight="1">
      <c r="K254" s="42"/>
      <c r="L254" s="42"/>
      <c r="M254" s="42"/>
      <c r="N254" s="42"/>
      <c r="O254" s="42"/>
      <c r="P254" s="60"/>
      <c r="Q254" s="42"/>
      <c r="R254" s="42"/>
      <c r="S254" s="42"/>
    </row>
    <row r="255" ht="14.25" customHeight="1">
      <c r="K255" s="42"/>
      <c r="L255" s="42"/>
      <c r="M255" s="42"/>
      <c r="N255" s="42"/>
      <c r="O255" s="42"/>
      <c r="P255" s="60"/>
      <c r="Q255" s="42"/>
      <c r="R255" s="42"/>
      <c r="S255" s="42"/>
    </row>
    <row r="256" ht="14.25" customHeight="1">
      <c r="K256" s="42"/>
      <c r="L256" s="42"/>
      <c r="M256" s="42"/>
      <c r="N256" s="42"/>
      <c r="O256" s="42"/>
      <c r="P256" s="60"/>
      <c r="Q256" s="42"/>
      <c r="R256" s="42"/>
      <c r="S256" s="42"/>
    </row>
    <row r="257" ht="14.25" customHeight="1">
      <c r="K257" s="42"/>
      <c r="L257" s="42"/>
      <c r="M257" s="42"/>
      <c r="N257" s="42"/>
      <c r="O257" s="42"/>
      <c r="P257" s="60"/>
      <c r="Q257" s="42"/>
      <c r="R257" s="42"/>
      <c r="S257" s="42"/>
    </row>
    <row r="258" ht="14.25" customHeight="1">
      <c r="K258" s="42"/>
      <c r="L258" s="42"/>
      <c r="M258" s="42"/>
      <c r="N258" s="42"/>
      <c r="O258" s="42"/>
      <c r="P258" s="60"/>
      <c r="Q258" s="42"/>
      <c r="R258" s="42"/>
      <c r="S258" s="42"/>
    </row>
    <row r="259" ht="14.25" customHeight="1">
      <c r="P259" s="60"/>
    </row>
    <row r="260" ht="14.25" customHeight="1">
      <c r="P260" s="60"/>
    </row>
    <row r="261" ht="14.25" customHeight="1">
      <c r="P261" s="60"/>
    </row>
    <row r="262" ht="14.25" customHeight="1">
      <c r="P262" s="60"/>
    </row>
    <row r="263" ht="14.25" customHeight="1">
      <c r="P263" s="60"/>
    </row>
    <row r="264" ht="14.25" customHeight="1">
      <c r="P264" s="60"/>
    </row>
    <row r="265" ht="14.25" customHeight="1">
      <c r="P265" s="60"/>
    </row>
    <row r="266" ht="14.25" customHeight="1">
      <c r="P266" s="60"/>
    </row>
    <row r="267" ht="14.25" customHeight="1">
      <c r="P267" s="60"/>
    </row>
    <row r="268" ht="14.25" customHeight="1">
      <c r="P268" s="60"/>
    </row>
    <row r="269" ht="14.25" customHeight="1">
      <c r="P269" s="60"/>
    </row>
    <row r="270" ht="14.25" customHeight="1">
      <c r="P270" s="60"/>
    </row>
    <row r="271" ht="14.25" customHeight="1">
      <c r="P271" s="60"/>
    </row>
    <row r="272" ht="14.25" customHeight="1">
      <c r="P272" s="60"/>
    </row>
    <row r="273" ht="14.25" customHeight="1">
      <c r="P273" s="60"/>
    </row>
    <row r="274" ht="14.25" customHeight="1">
      <c r="P274" s="60"/>
    </row>
    <row r="275" ht="14.25" customHeight="1">
      <c r="P275" s="60"/>
    </row>
    <row r="276" ht="14.25" customHeight="1">
      <c r="P276" s="60"/>
    </row>
    <row r="277" ht="14.25" customHeight="1">
      <c r="P277" s="60"/>
    </row>
    <row r="278" ht="14.25" customHeight="1">
      <c r="P278" s="60"/>
    </row>
    <row r="279" ht="14.25" customHeight="1">
      <c r="P279" s="60"/>
    </row>
    <row r="280" ht="14.25" customHeight="1">
      <c r="P280" s="60"/>
    </row>
    <row r="281" ht="14.25" customHeight="1">
      <c r="P281" s="60"/>
    </row>
    <row r="282" ht="14.25" customHeight="1">
      <c r="P282" s="60"/>
    </row>
    <row r="283" ht="14.25" customHeight="1">
      <c r="P283" s="60"/>
    </row>
    <row r="284" ht="14.25" customHeight="1">
      <c r="P284" s="60"/>
    </row>
    <row r="285" ht="14.25" customHeight="1">
      <c r="P285" s="60"/>
    </row>
    <row r="286" ht="14.25" customHeight="1">
      <c r="P286" s="60"/>
    </row>
    <row r="287" ht="14.25" customHeight="1">
      <c r="P287" s="60"/>
    </row>
    <row r="288" ht="14.25" customHeight="1">
      <c r="P288" s="60"/>
    </row>
    <row r="289" ht="14.25" customHeight="1">
      <c r="P289" s="60"/>
    </row>
    <row r="290" ht="14.25" customHeight="1">
      <c r="P290" s="60"/>
    </row>
    <row r="291" ht="14.25" customHeight="1">
      <c r="P291" s="60"/>
    </row>
    <row r="292" ht="14.25" customHeight="1">
      <c r="P292" s="60"/>
    </row>
    <row r="293" ht="14.25" customHeight="1">
      <c r="P293" s="60"/>
    </row>
    <row r="294" ht="14.25" customHeight="1">
      <c r="P294" s="60"/>
    </row>
    <row r="295" ht="14.25" customHeight="1">
      <c r="P295" s="60"/>
    </row>
    <row r="296" ht="14.25" customHeight="1">
      <c r="P296" s="60"/>
    </row>
    <row r="297" ht="14.25" customHeight="1">
      <c r="P297" s="60"/>
    </row>
    <row r="298" ht="14.25" customHeight="1">
      <c r="P298" s="60"/>
    </row>
    <row r="299" ht="14.25" customHeight="1">
      <c r="P299" s="60"/>
    </row>
    <row r="300" ht="14.25" customHeight="1">
      <c r="P300" s="60"/>
    </row>
    <row r="301" ht="14.25" customHeight="1">
      <c r="P301" s="60"/>
    </row>
    <row r="302" ht="14.25" customHeight="1">
      <c r="P302" s="60"/>
    </row>
    <row r="303" ht="14.25" customHeight="1">
      <c r="P303" s="60"/>
    </row>
    <row r="304" ht="14.25" customHeight="1">
      <c r="P304" s="60"/>
    </row>
    <row r="305" ht="14.25" customHeight="1">
      <c r="P305" s="60"/>
    </row>
    <row r="306" ht="14.25" customHeight="1">
      <c r="P306" s="60"/>
    </row>
    <row r="307" ht="14.25" customHeight="1">
      <c r="P307" s="60"/>
    </row>
    <row r="308" ht="14.25" customHeight="1">
      <c r="P308" s="60"/>
    </row>
    <row r="309" ht="14.25" customHeight="1">
      <c r="P309" s="60"/>
    </row>
    <row r="310" ht="14.25" customHeight="1">
      <c r="P310" s="60"/>
    </row>
    <row r="311" ht="14.25" customHeight="1">
      <c r="P311" s="60"/>
    </row>
    <row r="312" ht="14.25" customHeight="1">
      <c r="P312" s="60"/>
    </row>
    <row r="313" ht="14.25" customHeight="1">
      <c r="P313" s="60"/>
    </row>
    <row r="314" ht="14.25" customHeight="1">
      <c r="P314" s="60"/>
    </row>
    <row r="315" ht="14.25" customHeight="1">
      <c r="P315" s="60"/>
    </row>
    <row r="316" ht="14.25" customHeight="1">
      <c r="P316" s="60"/>
    </row>
    <row r="317" ht="14.25" customHeight="1">
      <c r="P317" s="60"/>
    </row>
    <row r="318" ht="14.25" customHeight="1">
      <c r="P318" s="60"/>
    </row>
    <row r="319" ht="14.25" customHeight="1">
      <c r="P319" s="60"/>
    </row>
    <row r="320" ht="14.25" customHeight="1">
      <c r="P320" s="60"/>
    </row>
    <row r="321" ht="14.25" customHeight="1">
      <c r="P321" s="60"/>
    </row>
    <row r="322" ht="14.25" customHeight="1">
      <c r="P322" s="60"/>
    </row>
    <row r="323" ht="14.25" customHeight="1">
      <c r="P323" s="60"/>
    </row>
    <row r="324" ht="14.25" customHeight="1">
      <c r="P324" s="60"/>
    </row>
    <row r="325" ht="14.25" customHeight="1">
      <c r="P325" s="60"/>
    </row>
    <row r="326" ht="14.25" customHeight="1">
      <c r="P326" s="60"/>
    </row>
    <row r="327" ht="14.25" customHeight="1">
      <c r="P327" s="60"/>
    </row>
    <row r="328" ht="14.25" customHeight="1">
      <c r="P328" s="60"/>
    </row>
    <row r="329" ht="14.25" customHeight="1">
      <c r="P329" s="60"/>
    </row>
    <row r="330" ht="14.25" customHeight="1">
      <c r="P330" s="60"/>
    </row>
    <row r="331" ht="14.25" customHeight="1">
      <c r="P331" s="60"/>
    </row>
    <row r="332" ht="14.25" customHeight="1">
      <c r="P332" s="60"/>
    </row>
    <row r="333" ht="14.25" customHeight="1">
      <c r="P333" s="60"/>
    </row>
    <row r="334" ht="14.25" customHeight="1">
      <c r="P334" s="60"/>
    </row>
    <row r="335" ht="14.25" customHeight="1">
      <c r="P335" s="60"/>
    </row>
    <row r="336" ht="14.25" customHeight="1">
      <c r="P336" s="60"/>
    </row>
    <row r="337" ht="14.25" customHeight="1">
      <c r="P337" s="60"/>
    </row>
    <row r="338" ht="14.25" customHeight="1">
      <c r="P338" s="60"/>
    </row>
    <row r="339" ht="14.25" customHeight="1">
      <c r="P339" s="60"/>
    </row>
    <row r="340" ht="14.25" customHeight="1">
      <c r="P340" s="60"/>
    </row>
    <row r="341" ht="14.25" customHeight="1">
      <c r="P341" s="60"/>
    </row>
    <row r="342" ht="14.25" customHeight="1">
      <c r="P342" s="60"/>
    </row>
    <row r="343" ht="14.25" customHeight="1">
      <c r="P343" s="60"/>
    </row>
    <row r="344" ht="14.25" customHeight="1">
      <c r="P344" s="60"/>
    </row>
    <row r="345" ht="14.25" customHeight="1">
      <c r="P345" s="60"/>
    </row>
    <row r="346" ht="14.25" customHeight="1">
      <c r="P346" s="60"/>
    </row>
    <row r="347" ht="14.25" customHeight="1">
      <c r="P347" s="60"/>
    </row>
    <row r="348" ht="14.25" customHeight="1">
      <c r="P348" s="60"/>
    </row>
    <row r="349" ht="14.25" customHeight="1">
      <c r="P349" s="60"/>
    </row>
    <row r="350" ht="14.25" customHeight="1">
      <c r="P350" s="60"/>
    </row>
    <row r="351" ht="14.25" customHeight="1">
      <c r="P351" s="60"/>
    </row>
    <row r="352" ht="14.25" customHeight="1">
      <c r="P352" s="60"/>
    </row>
    <row r="353" ht="14.25" customHeight="1">
      <c r="P353" s="60"/>
    </row>
    <row r="354" ht="14.25" customHeight="1">
      <c r="P354" s="60"/>
    </row>
    <row r="355" ht="14.25" customHeight="1">
      <c r="P355" s="60"/>
    </row>
    <row r="356" ht="14.25" customHeight="1">
      <c r="P356" s="60"/>
    </row>
    <row r="357" ht="14.25" customHeight="1">
      <c r="P357" s="60"/>
    </row>
    <row r="358" ht="14.25" customHeight="1">
      <c r="P358" s="60"/>
    </row>
    <row r="359" ht="14.25" customHeight="1">
      <c r="P359" s="60"/>
    </row>
    <row r="360" ht="14.25" customHeight="1">
      <c r="P360" s="60"/>
    </row>
    <row r="361" ht="14.25" customHeight="1">
      <c r="P361" s="60"/>
    </row>
    <row r="362" ht="14.25" customHeight="1">
      <c r="P362" s="60"/>
    </row>
    <row r="363" ht="14.25" customHeight="1">
      <c r="P363" s="60"/>
    </row>
    <row r="364" ht="14.25" customHeight="1">
      <c r="P364" s="60"/>
    </row>
    <row r="365" ht="14.25" customHeight="1">
      <c r="P365" s="60"/>
    </row>
    <row r="366" ht="14.25" customHeight="1">
      <c r="P366" s="60"/>
    </row>
    <row r="367" ht="14.25" customHeight="1">
      <c r="P367" s="60"/>
    </row>
    <row r="368" ht="14.25" customHeight="1">
      <c r="P368" s="60"/>
    </row>
    <row r="369" ht="14.25" customHeight="1">
      <c r="P369" s="60"/>
    </row>
    <row r="370" ht="14.25" customHeight="1">
      <c r="P370" s="60"/>
    </row>
    <row r="371" ht="14.25" customHeight="1">
      <c r="P371" s="60"/>
    </row>
    <row r="372" ht="14.25" customHeight="1">
      <c r="P372" s="60"/>
    </row>
    <row r="373" ht="14.25" customHeight="1">
      <c r="P373" s="60"/>
    </row>
    <row r="374" ht="14.25" customHeight="1">
      <c r="P374" s="60"/>
    </row>
    <row r="375" ht="14.25" customHeight="1">
      <c r="P375" s="60"/>
    </row>
    <row r="376" ht="14.25" customHeight="1">
      <c r="P376" s="60"/>
    </row>
    <row r="377" ht="14.25" customHeight="1">
      <c r="P377" s="60"/>
    </row>
    <row r="378" ht="14.25" customHeight="1">
      <c r="P378" s="60"/>
    </row>
    <row r="379" ht="14.25" customHeight="1">
      <c r="P379" s="60"/>
    </row>
    <row r="380" ht="14.25" customHeight="1">
      <c r="P380" s="60"/>
    </row>
    <row r="381" ht="14.25" customHeight="1">
      <c r="P381" s="60"/>
    </row>
    <row r="382" ht="14.25" customHeight="1">
      <c r="P382" s="60"/>
    </row>
    <row r="383" ht="14.25" customHeight="1">
      <c r="P383" s="60"/>
    </row>
    <row r="384" ht="14.25" customHeight="1">
      <c r="P384" s="60"/>
    </row>
    <row r="385" ht="14.25" customHeight="1">
      <c r="P385" s="60"/>
    </row>
    <row r="386" ht="14.25" customHeight="1">
      <c r="P386" s="60"/>
    </row>
    <row r="387" ht="14.25" customHeight="1">
      <c r="P387" s="60"/>
    </row>
    <row r="388" ht="14.25" customHeight="1">
      <c r="P388" s="60"/>
    </row>
    <row r="389" ht="14.25" customHeight="1">
      <c r="P389" s="60"/>
    </row>
    <row r="390" ht="14.25" customHeight="1">
      <c r="P390" s="60"/>
    </row>
    <row r="391" ht="14.25" customHeight="1">
      <c r="P391" s="60"/>
    </row>
    <row r="392" ht="14.25" customHeight="1">
      <c r="P392" s="60"/>
    </row>
    <row r="393" ht="14.25" customHeight="1">
      <c r="P393" s="60"/>
    </row>
    <row r="394" ht="14.25" customHeight="1">
      <c r="P394" s="60"/>
    </row>
    <row r="395" ht="14.25" customHeight="1">
      <c r="P395" s="60"/>
    </row>
    <row r="396" ht="14.25" customHeight="1">
      <c r="P396" s="60"/>
    </row>
    <row r="397" ht="14.25" customHeight="1">
      <c r="P397" s="60"/>
    </row>
    <row r="398" ht="14.25" customHeight="1">
      <c r="P398" s="60"/>
    </row>
    <row r="399" ht="14.25" customHeight="1">
      <c r="P399" s="60"/>
    </row>
    <row r="400" ht="14.25" customHeight="1">
      <c r="P400" s="60"/>
    </row>
    <row r="401" ht="14.25" customHeight="1">
      <c r="P401" s="60"/>
    </row>
    <row r="402" ht="14.25" customHeight="1">
      <c r="P402" s="60"/>
    </row>
    <row r="403" ht="14.25" customHeight="1">
      <c r="P403" s="60"/>
    </row>
    <row r="404" ht="14.25" customHeight="1">
      <c r="P404" s="60"/>
    </row>
    <row r="405" ht="14.25" customHeight="1">
      <c r="P405" s="60"/>
    </row>
    <row r="406" ht="14.25" customHeight="1">
      <c r="P406" s="60"/>
    </row>
    <row r="407" ht="14.25" customHeight="1">
      <c r="P407" s="60"/>
    </row>
    <row r="408" ht="14.25" customHeight="1">
      <c r="P408" s="60"/>
    </row>
    <row r="409" ht="14.25" customHeight="1">
      <c r="P409" s="60"/>
    </row>
    <row r="410" ht="14.25" customHeight="1">
      <c r="P410" s="60"/>
    </row>
    <row r="411" ht="14.25" customHeight="1">
      <c r="P411" s="60"/>
    </row>
    <row r="412" ht="14.25" customHeight="1">
      <c r="P412" s="60"/>
    </row>
    <row r="413" ht="14.25" customHeight="1">
      <c r="P413" s="60"/>
    </row>
    <row r="414" ht="14.25" customHeight="1">
      <c r="P414" s="60"/>
    </row>
    <row r="415" ht="14.25" customHeight="1">
      <c r="P415" s="60"/>
    </row>
    <row r="416" ht="14.25" customHeight="1">
      <c r="P416" s="60"/>
    </row>
    <row r="417" ht="14.25" customHeight="1">
      <c r="P417" s="60"/>
    </row>
    <row r="418" ht="14.25" customHeight="1">
      <c r="P418" s="60"/>
    </row>
    <row r="419" ht="14.25" customHeight="1">
      <c r="P419" s="60"/>
    </row>
    <row r="420" ht="14.25" customHeight="1">
      <c r="P420" s="60"/>
    </row>
    <row r="421" ht="14.25" customHeight="1">
      <c r="P421" s="60"/>
    </row>
    <row r="422" ht="14.25" customHeight="1">
      <c r="P422" s="60"/>
    </row>
    <row r="423" ht="14.25" customHeight="1">
      <c r="P423" s="60"/>
    </row>
    <row r="424" ht="14.25" customHeight="1">
      <c r="P424" s="60"/>
    </row>
    <row r="425" ht="14.25" customHeight="1">
      <c r="P425" s="60"/>
    </row>
    <row r="426" ht="14.25" customHeight="1">
      <c r="P426" s="60"/>
    </row>
    <row r="427" ht="14.25" customHeight="1">
      <c r="P427" s="60"/>
    </row>
    <row r="428" ht="14.25" customHeight="1">
      <c r="P428" s="60"/>
    </row>
    <row r="429" ht="14.25" customHeight="1">
      <c r="P429" s="60"/>
    </row>
    <row r="430" ht="14.25" customHeight="1">
      <c r="P430" s="60"/>
    </row>
    <row r="431" ht="14.25" customHeight="1">
      <c r="P431" s="60"/>
    </row>
    <row r="432" ht="14.25" customHeight="1">
      <c r="P432" s="60"/>
    </row>
    <row r="433" ht="14.25" customHeight="1">
      <c r="P433" s="60"/>
    </row>
    <row r="434" ht="14.25" customHeight="1">
      <c r="P434" s="60"/>
    </row>
    <row r="435" ht="14.25" customHeight="1">
      <c r="P435" s="60"/>
    </row>
    <row r="436" ht="14.25" customHeight="1">
      <c r="P436" s="60"/>
    </row>
    <row r="437" ht="14.25" customHeight="1">
      <c r="P437" s="60"/>
    </row>
    <row r="438" ht="14.25" customHeight="1">
      <c r="P438" s="60"/>
    </row>
    <row r="439" ht="14.25" customHeight="1">
      <c r="P439" s="60"/>
    </row>
    <row r="440" ht="14.25" customHeight="1">
      <c r="P440" s="60"/>
    </row>
    <row r="441" ht="14.25" customHeight="1">
      <c r="P441" s="60"/>
    </row>
    <row r="442" ht="14.25" customHeight="1">
      <c r="P442" s="60"/>
    </row>
    <row r="443" ht="14.25" customHeight="1">
      <c r="P443" s="60"/>
    </row>
    <row r="444" ht="14.25" customHeight="1">
      <c r="P444" s="60"/>
    </row>
    <row r="445" ht="14.25" customHeight="1">
      <c r="P445" s="60"/>
    </row>
    <row r="446" ht="14.25" customHeight="1">
      <c r="P446" s="60"/>
    </row>
    <row r="447" ht="14.25" customHeight="1">
      <c r="P447" s="60"/>
    </row>
    <row r="448" ht="14.25" customHeight="1">
      <c r="P448" s="60"/>
    </row>
    <row r="449" ht="14.25" customHeight="1">
      <c r="P449" s="60"/>
    </row>
    <row r="450" ht="14.25" customHeight="1">
      <c r="P450" s="60"/>
    </row>
    <row r="451" ht="14.25" customHeight="1">
      <c r="P451" s="60"/>
    </row>
    <row r="452" ht="14.25" customHeight="1">
      <c r="P452" s="60"/>
    </row>
    <row r="453" ht="14.25" customHeight="1">
      <c r="P453" s="60"/>
    </row>
    <row r="454" ht="14.25" customHeight="1">
      <c r="P454" s="60"/>
    </row>
    <row r="455" ht="14.25" customHeight="1">
      <c r="P455" s="60"/>
    </row>
    <row r="456" ht="14.25" customHeight="1">
      <c r="P456" s="60"/>
    </row>
    <row r="457" ht="14.25" customHeight="1">
      <c r="P457" s="60"/>
    </row>
    <row r="458" ht="14.25" customHeight="1">
      <c r="P458" s="60"/>
    </row>
    <row r="459" ht="14.25" customHeight="1">
      <c r="P459" s="60"/>
    </row>
    <row r="460" ht="14.25" customHeight="1">
      <c r="P460" s="60"/>
    </row>
    <row r="461" ht="14.25" customHeight="1">
      <c r="P461" s="60"/>
    </row>
    <row r="462" ht="14.25" customHeight="1">
      <c r="P462" s="60"/>
    </row>
    <row r="463" ht="14.25" customHeight="1">
      <c r="P463" s="60"/>
    </row>
    <row r="464" ht="14.25" customHeight="1">
      <c r="P464" s="60"/>
    </row>
    <row r="465" ht="14.25" customHeight="1">
      <c r="P465" s="60"/>
    </row>
    <row r="466" ht="14.25" customHeight="1">
      <c r="P466" s="60"/>
    </row>
    <row r="467" ht="14.25" customHeight="1">
      <c r="P467" s="60"/>
    </row>
    <row r="468" ht="14.25" customHeight="1">
      <c r="P468" s="60"/>
    </row>
    <row r="469" ht="14.25" customHeight="1">
      <c r="P469" s="60"/>
    </row>
    <row r="470" ht="14.25" customHeight="1">
      <c r="P470" s="60"/>
    </row>
    <row r="471" ht="14.25" customHeight="1">
      <c r="P471" s="60"/>
    </row>
    <row r="472" ht="14.25" customHeight="1">
      <c r="P472" s="60"/>
    </row>
    <row r="473" ht="14.25" customHeight="1">
      <c r="P473" s="60"/>
    </row>
    <row r="474" ht="14.25" customHeight="1">
      <c r="P474" s="60"/>
    </row>
    <row r="475" ht="14.25" customHeight="1">
      <c r="P475" s="60"/>
    </row>
    <row r="476" ht="14.25" customHeight="1">
      <c r="P476" s="60"/>
    </row>
    <row r="477" ht="14.25" customHeight="1">
      <c r="P477" s="60"/>
    </row>
    <row r="478" ht="14.25" customHeight="1">
      <c r="P478" s="60"/>
    </row>
    <row r="479" ht="14.25" customHeight="1">
      <c r="P479" s="60"/>
    </row>
    <row r="480" ht="14.25" customHeight="1">
      <c r="P480" s="60"/>
    </row>
    <row r="481" ht="14.25" customHeight="1">
      <c r="P481" s="60"/>
    </row>
    <row r="482" ht="14.25" customHeight="1">
      <c r="P482" s="60"/>
    </row>
    <row r="483" ht="14.25" customHeight="1">
      <c r="P483" s="60"/>
    </row>
    <row r="484" ht="14.25" customHeight="1">
      <c r="P484" s="60"/>
    </row>
    <row r="485" ht="14.25" customHeight="1">
      <c r="P485" s="60"/>
    </row>
    <row r="486" ht="14.25" customHeight="1">
      <c r="P486" s="60"/>
    </row>
    <row r="487" ht="14.25" customHeight="1">
      <c r="P487" s="60"/>
    </row>
    <row r="488" ht="14.25" customHeight="1">
      <c r="P488" s="60"/>
    </row>
    <row r="489" ht="14.25" customHeight="1">
      <c r="P489" s="60"/>
    </row>
    <row r="490" ht="14.25" customHeight="1">
      <c r="P490" s="60"/>
    </row>
    <row r="491" ht="14.25" customHeight="1">
      <c r="P491" s="60"/>
    </row>
    <row r="492" ht="14.25" customHeight="1">
      <c r="P492" s="60"/>
    </row>
    <row r="493" ht="14.25" customHeight="1">
      <c r="P493" s="60"/>
    </row>
    <row r="494" ht="14.25" customHeight="1">
      <c r="P494" s="60"/>
    </row>
    <row r="495" ht="14.25" customHeight="1">
      <c r="P495" s="60"/>
    </row>
    <row r="496" ht="14.25" customHeight="1">
      <c r="P496" s="60"/>
    </row>
    <row r="497" ht="14.25" customHeight="1">
      <c r="P497" s="60"/>
    </row>
    <row r="498" ht="14.25" customHeight="1">
      <c r="P498" s="60"/>
    </row>
    <row r="499" ht="14.25" customHeight="1">
      <c r="P499" s="60"/>
    </row>
    <row r="500" ht="14.25" customHeight="1">
      <c r="P500" s="60"/>
    </row>
    <row r="501" ht="14.25" customHeight="1">
      <c r="P501" s="60"/>
    </row>
    <row r="502" ht="14.25" customHeight="1">
      <c r="P502" s="60"/>
    </row>
    <row r="503" ht="14.25" customHeight="1">
      <c r="P503" s="60"/>
    </row>
    <row r="504" ht="14.25" customHeight="1">
      <c r="P504" s="60"/>
    </row>
    <row r="505" ht="14.25" customHeight="1">
      <c r="P505" s="60"/>
    </row>
    <row r="506" ht="14.25" customHeight="1">
      <c r="P506" s="60"/>
    </row>
    <row r="507" ht="14.25" customHeight="1">
      <c r="P507" s="60"/>
    </row>
    <row r="508" ht="14.25" customHeight="1">
      <c r="P508" s="60"/>
    </row>
    <row r="509" ht="14.25" customHeight="1">
      <c r="P509" s="60"/>
    </row>
    <row r="510" ht="14.25" customHeight="1">
      <c r="P510" s="60"/>
    </row>
    <row r="511" ht="14.25" customHeight="1">
      <c r="P511" s="60"/>
    </row>
    <row r="512" ht="14.25" customHeight="1">
      <c r="P512" s="60"/>
    </row>
    <row r="513" ht="14.25" customHeight="1">
      <c r="P513" s="60"/>
    </row>
    <row r="514" ht="14.25" customHeight="1">
      <c r="P514" s="60"/>
    </row>
    <row r="515" ht="14.25" customHeight="1">
      <c r="P515" s="60"/>
    </row>
    <row r="516" ht="14.25" customHeight="1">
      <c r="P516" s="60"/>
    </row>
    <row r="517" ht="14.25" customHeight="1">
      <c r="P517" s="60"/>
    </row>
    <row r="518" ht="14.25" customHeight="1">
      <c r="P518" s="60"/>
    </row>
    <row r="519" ht="14.25" customHeight="1">
      <c r="P519" s="60"/>
    </row>
    <row r="520" ht="14.25" customHeight="1">
      <c r="P520" s="60"/>
    </row>
    <row r="521" ht="14.25" customHeight="1">
      <c r="P521" s="60"/>
    </row>
    <row r="522" ht="14.25" customHeight="1">
      <c r="P522" s="60"/>
    </row>
    <row r="523" ht="14.25" customHeight="1">
      <c r="P523" s="60"/>
    </row>
    <row r="524" ht="14.25" customHeight="1">
      <c r="P524" s="60"/>
    </row>
    <row r="525" ht="14.25" customHeight="1">
      <c r="P525" s="60"/>
    </row>
    <row r="526" ht="14.25" customHeight="1">
      <c r="P526" s="60"/>
    </row>
    <row r="527" ht="14.25" customHeight="1">
      <c r="P527" s="60"/>
    </row>
    <row r="528" ht="14.25" customHeight="1">
      <c r="P528" s="60"/>
    </row>
    <row r="529" ht="14.25" customHeight="1">
      <c r="P529" s="60"/>
    </row>
    <row r="530" ht="14.25" customHeight="1">
      <c r="P530" s="60"/>
    </row>
    <row r="531" ht="14.25" customHeight="1">
      <c r="P531" s="60"/>
    </row>
    <row r="532" ht="14.25" customHeight="1">
      <c r="P532" s="60"/>
    </row>
    <row r="533" ht="14.25" customHeight="1">
      <c r="P533" s="60"/>
    </row>
    <row r="534" ht="14.25" customHeight="1">
      <c r="P534" s="60"/>
    </row>
    <row r="535" ht="14.25" customHeight="1">
      <c r="P535" s="60"/>
    </row>
    <row r="536" ht="14.25" customHeight="1">
      <c r="P536" s="60"/>
    </row>
    <row r="537" ht="14.25" customHeight="1">
      <c r="P537" s="60"/>
    </row>
    <row r="538" ht="14.25" customHeight="1">
      <c r="P538" s="60"/>
    </row>
    <row r="539" ht="14.25" customHeight="1">
      <c r="P539" s="60"/>
    </row>
    <row r="540" ht="14.25" customHeight="1">
      <c r="P540" s="60"/>
    </row>
    <row r="541" ht="14.25" customHeight="1">
      <c r="P541" s="60"/>
    </row>
    <row r="542" ht="14.25" customHeight="1">
      <c r="P542" s="60"/>
    </row>
    <row r="543" ht="14.25" customHeight="1">
      <c r="P543" s="60"/>
    </row>
    <row r="544" ht="14.25" customHeight="1">
      <c r="P544" s="60"/>
    </row>
    <row r="545" ht="14.25" customHeight="1">
      <c r="P545" s="60"/>
    </row>
    <row r="546" ht="14.25" customHeight="1">
      <c r="P546" s="60"/>
    </row>
    <row r="547" ht="14.25" customHeight="1">
      <c r="P547" s="60"/>
    </row>
    <row r="548" ht="14.25" customHeight="1">
      <c r="P548" s="60"/>
    </row>
    <row r="549" ht="14.25" customHeight="1">
      <c r="P549" s="60"/>
    </row>
    <row r="550" ht="14.25" customHeight="1">
      <c r="P550" s="60"/>
    </row>
    <row r="551" ht="14.25" customHeight="1">
      <c r="P551" s="60"/>
    </row>
    <row r="552" ht="14.25" customHeight="1">
      <c r="P552" s="60"/>
    </row>
    <row r="553" ht="14.25" customHeight="1">
      <c r="P553" s="60"/>
    </row>
    <row r="554" ht="14.25" customHeight="1">
      <c r="P554" s="60"/>
    </row>
    <row r="555" ht="14.25" customHeight="1">
      <c r="P555" s="60"/>
    </row>
    <row r="556" ht="14.25" customHeight="1">
      <c r="P556" s="60"/>
    </row>
    <row r="557" ht="14.25" customHeight="1">
      <c r="P557" s="60"/>
    </row>
    <row r="558" ht="14.25" customHeight="1">
      <c r="P558" s="60"/>
    </row>
    <row r="559" ht="14.25" customHeight="1">
      <c r="P559" s="60"/>
    </row>
    <row r="560" ht="14.25" customHeight="1">
      <c r="P560" s="60"/>
    </row>
    <row r="561" ht="14.25" customHeight="1">
      <c r="P561" s="60"/>
    </row>
    <row r="562" ht="14.25" customHeight="1">
      <c r="P562" s="60"/>
    </row>
    <row r="563" ht="14.25" customHeight="1">
      <c r="P563" s="60"/>
    </row>
    <row r="564" ht="14.25" customHeight="1">
      <c r="P564" s="60"/>
    </row>
    <row r="565" ht="14.25" customHeight="1">
      <c r="P565" s="60"/>
    </row>
    <row r="566" ht="14.25" customHeight="1">
      <c r="P566" s="60"/>
    </row>
    <row r="567" ht="14.25" customHeight="1">
      <c r="P567" s="60"/>
    </row>
    <row r="568" ht="14.25" customHeight="1">
      <c r="P568" s="60"/>
    </row>
    <row r="569" ht="14.25" customHeight="1">
      <c r="P569" s="60"/>
    </row>
    <row r="570" ht="14.25" customHeight="1">
      <c r="P570" s="60"/>
    </row>
    <row r="571" ht="14.25" customHeight="1">
      <c r="P571" s="60"/>
    </row>
    <row r="572" ht="14.25" customHeight="1">
      <c r="P572" s="60"/>
    </row>
    <row r="573" ht="14.25" customHeight="1">
      <c r="P573" s="60"/>
    </row>
    <row r="574" ht="14.25" customHeight="1">
      <c r="P574" s="60"/>
    </row>
    <row r="575" ht="14.25" customHeight="1">
      <c r="P575" s="60"/>
    </row>
    <row r="576" ht="14.25" customHeight="1">
      <c r="P576" s="60"/>
    </row>
    <row r="577" ht="14.25" customHeight="1">
      <c r="P577" s="60"/>
    </row>
    <row r="578" ht="14.25" customHeight="1">
      <c r="P578" s="60"/>
    </row>
    <row r="579" ht="14.25" customHeight="1">
      <c r="P579" s="60"/>
    </row>
    <row r="580" ht="14.25" customHeight="1">
      <c r="P580" s="60"/>
    </row>
    <row r="581" ht="14.25" customHeight="1">
      <c r="P581" s="60"/>
    </row>
    <row r="582" ht="14.25" customHeight="1">
      <c r="P582" s="60"/>
    </row>
    <row r="583" ht="14.25" customHeight="1">
      <c r="P583" s="60"/>
    </row>
    <row r="584" ht="14.25" customHeight="1">
      <c r="P584" s="60"/>
    </row>
    <row r="585" ht="14.25" customHeight="1">
      <c r="P585" s="60"/>
    </row>
    <row r="586" ht="14.25" customHeight="1">
      <c r="P586" s="60"/>
    </row>
    <row r="587" ht="14.25" customHeight="1">
      <c r="P587" s="60"/>
    </row>
    <row r="588" ht="14.25" customHeight="1">
      <c r="P588" s="60"/>
    </row>
    <row r="589" ht="14.25" customHeight="1">
      <c r="P589" s="60"/>
    </row>
    <row r="590" ht="14.25" customHeight="1">
      <c r="P590" s="60"/>
    </row>
    <row r="591" ht="14.25" customHeight="1">
      <c r="P591" s="60"/>
    </row>
    <row r="592" ht="14.25" customHeight="1">
      <c r="P592" s="60"/>
    </row>
    <row r="593" ht="14.25" customHeight="1">
      <c r="P593" s="60"/>
    </row>
    <row r="594" ht="14.25" customHeight="1">
      <c r="P594" s="60"/>
    </row>
    <row r="595" ht="14.25" customHeight="1">
      <c r="P595" s="60"/>
    </row>
    <row r="596" ht="14.25" customHeight="1">
      <c r="P596" s="60"/>
    </row>
    <row r="597" ht="14.25" customHeight="1">
      <c r="P597" s="60"/>
    </row>
    <row r="598" ht="14.25" customHeight="1">
      <c r="P598" s="60"/>
    </row>
    <row r="599" ht="14.25" customHeight="1">
      <c r="P599" s="60"/>
    </row>
    <row r="600" ht="14.25" customHeight="1">
      <c r="P600" s="60"/>
    </row>
    <row r="601" ht="14.25" customHeight="1">
      <c r="P601" s="60"/>
    </row>
    <row r="602" ht="14.25" customHeight="1">
      <c r="P602" s="60"/>
    </row>
    <row r="603" ht="14.25" customHeight="1">
      <c r="P603" s="60"/>
    </row>
    <row r="604" ht="14.25" customHeight="1">
      <c r="P604" s="60"/>
    </row>
    <row r="605" ht="14.25" customHeight="1">
      <c r="P605" s="60"/>
    </row>
    <row r="606" ht="14.25" customHeight="1">
      <c r="P606" s="60"/>
    </row>
    <row r="607" ht="14.25" customHeight="1">
      <c r="P607" s="60"/>
    </row>
    <row r="608" ht="14.25" customHeight="1">
      <c r="P608" s="60"/>
    </row>
    <row r="609" ht="14.25" customHeight="1">
      <c r="P609" s="60"/>
    </row>
    <row r="610" ht="14.25" customHeight="1">
      <c r="P610" s="60"/>
    </row>
    <row r="611" ht="14.25" customHeight="1">
      <c r="P611" s="60"/>
    </row>
    <row r="612" ht="14.25" customHeight="1">
      <c r="P612" s="60"/>
    </row>
    <row r="613" ht="14.25" customHeight="1">
      <c r="P613" s="60"/>
    </row>
    <row r="614" ht="14.25" customHeight="1">
      <c r="P614" s="60"/>
    </row>
    <row r="615" ht="14.25" customHeight="1">
      <c r="P615" s="60"/>
    </row>
    <row r="616" ht="14.25" customHeight="1">
      <c r="P616" s="60"/>
    </row>
    <row r="617" ht="14.25" customHeight="1">
      <c r="P617" s="60"/>
    </row>
    <row r="618" ht="14.25" customHeight="1">
      <c r="P618" s="60"/>
    </row>
    <row r="619" ht="14.25" customHeight="1">
      <c r="P619" s="60"/>
    </row>
    <row r="620" ht="14.25" customHeight="1">
      <c r="P620" s="60"/>
    </row>
    <row r="621" ht="14.25" customHeight="1">
      <c r="P621" s="60"/>
    </row>
    <row r="622" ht="14.25" customHeight="1">
      <c r="P622" s="60"/>
    </row>
    <row r="623" ht="14.25" customHeight="1">
      <c r="P623" s="60"/>
    </row>
    <row r="624" ht="14.25" customHeight="1">
      <c r="P624" s="60"/>
    </row>
    <row r="625" ht="14.25" customHeight="1">
      <c r="P625" s="60"/>
    </row>
    <row r="626" ht="14.25" customHeight="1">
      <c r="P626" s="60"/>
    </row>
    <row r="627" ht="14.25" customHeight="1">
      <c r="P627" s="60"/>
    </row>
    <row r="628" ht="14.25" customHeight="1">
      <c r="P628" s="60"/>
    </row>
    <row r="629" ht="14.25" customHeight="1">
      <c r="P629" s="60"/>
    </row>
    <row r="630" ht="14.25" customHeight="1">
      <c r="P630" s="60"/>
    </row>
    <row r="631" ht="14.25" customHeight="1">
      <c r="P631" s="60"/>
    </row>
    <row r="632" ht="14.25" customHeight="1">
      <c r="P632" s="60"/>
    </row>
    <row r="633" ht="14.25" customHeight="1">
      <c r="P633" s="60"/>
    </row>
    <row r="634" ht="14.25" customHeight="1">
      <c r="P634" s="60"/>
    </row>
    <row r="635" ht="14.25" customHeight="1">
      <c r="P635" s="60"/>
    </row>
    <row r="636" ht="14.25" customHeight="1">
      <c r="P636" s="60"/>
    </row>
    <row r="637" ht="14.25" customHeight="1">
      <c r="P637" s="60"/>
    </row>
    <row r="638" ht="14.25" customHeight="1">
      <c r="P638" s="60"/>
    </row>
    <row r="639" ht="14.25" customHeight="1">
      <c r="P639" s="60"/>
    </row>
    <row r="640" ht="14.25" customHeight="1">
      <c r="P640" s="60"/>
    </row>
    <row r="641" ht="14.25" customHeight="1">
      <c r="P641" s="60"/>
    </row>
    <row r="642" ht="14.25" customHeight="1">
      <c r="P642" s="60"/>
    </row>
    <row r="643" ht="14.25" customHeight="1">
      <c r="P643" s="60"/>
    </row>
    <row r="644" ht="14.25" customHeight="1">
      <c r="P644" s="60"/>
    </row>
    <row r="645" ht="14.25" customHeight="1">
      <c r="P645" s="60"/>
    </row>
    <row r="646" ht="14.25" customHeight="1">
      <c r="P646" s="60"/>
    </row>
    <row r="647" ht="14.25" customHeight="1">
      <c r="P647" s="60"/>
    </row>
    <row r="648" ht="14.25" customHeight="1">
      <c r="P648" s="60"/>
    </row>
    <row r="649" ht="14.25" customHeight="1">
      <c r="P649" s="60"/>
    </row>
    <row r="650" ht="14.25" customHeight="1">
      <c r="P650" s="60"/>
    </row>
    <row r="651" ht="14.25" customHeight="1">
      <c r="P651" s="60"/>
    </row>
    <row r="652" ht="14.25" customHeight="1">
      <c r="P652" s="60"/>
    </row>
    <row r="653" ht="14.25" customHeight="1">
      <c r="P653" s="60"/>
    </row>
    <row r="654" ht="14.25" customHeight="1">
      <c r="P654" s="60"/>
    </row>
    <row r="655" ht="14.25" customHeight="1">
      <c r="P655" s="60"/>
    </row>
    <row r="656" ht="14.25" customHeight="1">
      <c r="P656" s="60"/>
    </row>
    <row r="657" ht="14.25" customHeight="1">
      <c r="P657" s="60"/>
    </row>
    <row r="658" ht="14.25" customHeight="1">
      <c r="P658" s="60"/>
    </row>
    <row r="659" ht="14.25" customHeight="1">
      <c r="P659" s="60"/>
    </row>
    <row r="660" ht="14.25" customHeight="1">
      <c r="P660" s="60"/>
    </row>
    <row r="661" ht="14.25" customHeight="1">
      <c r="P661" s="60"/>
    </row>
    <row r="662" ht="14.25" customHeight="1">
      <c r="P662" s="60"/>
    </row>
    <row r="663" ht="14.25" customHeight="1">
      <c r="P663" s="60"/>
    </row>
    <row r="664" ht="14.25" customHeight="1">
      <c r="P664" s="60"/>
    </row>
    <row r="665" ht="14.25" customHeight="1">
      <c r="P665" s="60"/>
    </row>
    <row r="666" ht="14.25" customHeight="1">
      <c r="P666" s="60"/>
    </row>
    <row r="667" ht="14.25" customHeight="1">
      <c r="P667" s="60"/>
    </row>
    <row r="668" ht="14.25" customHeight="1">
      <c r="P668" s="60"/>
    </row>
    <row r="669" ht="14.25" customHeight="1">
      <c r="P669" s="60"/>
    </row>
    <row r="670" ht="14.25" customHeight="1">
      <c r="P670" s="60"/>
    </row>
    <row r="671" ht="14.25" customHeight="1">
      <c r="P671" s="60"/>
    </row>
    <row r="672" ht="14.25" customHeight="1">
      <c r="P672" s="60"/>
    </row>
    <row r="673" ht="14.25" customHeight="1">
      <c r="P673" s="60"/>
    </row>
    <row r="674" ht="14.25" customHeight="1">
      <c r="P674" s="60"/>
    </row>
    <row r="675" ht="14.25" customHeight="1">
      <c r="P675" s="60"/>
    </row>
    <row r="676" ht="14.25" customHeight="1">
      <c r="P676" s="60"/>
    </row>
    <row r="677" ht="14.25" customHeight="1">
      <c r="P677" s="60"/>
    </row>
    <row r="678" ht="14.25" customHeight="1">
      <c r="P678" s="60"/>
    </row>
    <row r="679" ht="14.25" customHeight="1">
      <c r="P679" s="60"/>
    </row>
    <row r="680" ht="14.25" customHeight="1">
      <c r="P680" s="60"/>
    </row>
    <row r="681" ht="14.25" customHeight="1">
      <c r="P681" s="60"/>
    </row>
    <row r="682" ht="14.25" customHeight="1">
      <c r="P682" s="60"/>
    </row>
    <row r="683" ht="14.25" customHeight="1">
      <c r="P683" s="60"/>
    </row>
    <row r="684" ht="14.25" customHeight="1">
      <c r="P684" s="60"/>
    </row>
    <row r="685" ht="14.25" customHeight="1">
      <c r="P685" s="60"/>
    </row>
    <row r="686" ht="14.25" customHeight="1">
      <c r="P686" s="60"/>
    </row>
    <row r="687" ht="14.25" customHeight="1">
      <c r="P687" s="60"/>
    </row>
    <row r="688" ht="14.25" customHeight="1">
      <c r="P688" s="60"/>
    </row>
    <row r="689" ht="14.25" customHeight="1">
      <c r="P689" s="60"/>
    </row>
    <row r="690" ht="14.25" customHeight="1">
      <c r="P690" s="60"/>
    </row>
    <row r="691" ht="14.25" customHeight="1">
      <c r="P691" s="60"/>
    </row>
    <row r="692" ht="14.25" customHeight="1">
      <c r="P692" s="60"/>
    </row>
    <row r="693" ht="14.25" customHeight="1">
      <c r="P693" s="60"/>
    </row>
    <row r="694" ht="14.25" customHeight="1">
      <c r="P694" s="60"/>
    </row>
    <row r="695" ht="14.25" customHeight="1">
      <c r="P695" s="60"/>
    </row>
    <row r="696" ht="14.25" customHeight="1">
      <c r="P696" s="60"/>
    </row>
    <row r="697" ht="14.25" customHeight="1">
      <c r="P697" s="60"/>
    </row>
    <row r="698" ht="14.25" customHeight="1">
      <c r="P698" s="60"/>
    </row>
    <row r="699" ht="14.25" customHeight="1">
      <c r="P699" s="60"/>
    </row>
    <row r="700" ht="14.25" customHeight="1">
      <c r="P700" s="60"/>
    </row>
    <row r="701" ht="14.25" customHeight="1">
      <c r="P701" s="60"/>
    </row>
    <row r="702" ht="14.25" customHeight="1">
      <c r="P702" s="60"/>
    </row>
    <row r="703" ht="14.25" customHeight="1">
      <c r="P703" s="60"/>
    </row>
    <row r="704" ht="14.25" customHeight="1">
      <c r="P704" s="60"/>
    </row>
    <row r="705" ht="14.25" customHeight="1">
      <c r="P705" s="60"/>
    </row>
    <row r="706" ht="14.25" customHeight="1">
      <c r="P706" s="60"/>
    </row>
    <row r="707" ht="14.25" customHeight="1">
      <c r="P707" s="60"/>
    </row>
    <row r="708" ht="14.25" customHeight="1">
      <c r="P708" s="60"/>
    </row>
    <row r="709" ht="14.25" customHeight="1">
      <c r="P709" s="60"/>
    </row>
    <row r="710" ht="14.25" customHeight="1">
      <c r="P710" s="60"/>
    </row>
    <row r="711" ht="14.25" customHeight="1">
      <c r="P711" s="60"/>
    </row>
    <row r="712" ht="14.25" customHeight="1">
      <c r="P712" s="60"/>
    </row>
    <row r="713" ht="14.25" customHeight="1">
      <c r="P713" s="60"/>
    </row>
    <row r="714" ht="14.25" customHeight="1">
      <c r="P714" s="60"/>
    </row>
    <row r="715" ht="14.25" customHeight="1">
      <c r="P715" s="60"/>
    </row>
    <row r="716" ht="14.25" customHeight="1">
      <c r="P716" s="60"/>
    </row>
    <row r="717" ht="14.25" customHeight="1">
      <c r="P717" s="60"/>
    </row>
    <row r="718" ht="14.25" customHeight="1">
      <c r="P718" s="60"/>
    </row>
    <row r="719" ht="14.25" customHeight="1">
      <c r="P719" s="60"/>
    </row>
    <row r="720" ht="14.25" customHeight="1">
      <c r="P720" s="60"/>
    </row>
    <row r="721" ht="14.25" customHeight="1">
      <c r="P721" s="60"/>
    </row>
    <row r="722" ht="14.25" customHeight="1">
      <c r="P722" s="60"/>
    </row>
    <row r="723" ht="14.25" customHeight="1">
      <c r="P723" s="60"/>
    </row>
    <row r="724" ht="14.25" customHeight="1">
      <c r="P724" s="60"/>
    </row>
    <row r="725" ht="14.25" customHeight="1">
      <c r="P725" s="60"/>
    </row>
    <row r="726" ht="14.25" customHeight="1">
      <c r="P726" s="60"/>
    </row>
    <row r="727" ht="14.25" customHeight="1">
      <c r="P727" s="60"/>
    </row>
    <row r="728" ht="14.25" customHeight="1">
      <c r="P728" s="60"/>
    </row>
    <row r="729" ht="14.25" customHeight="1">
      <c r="P729" s="60"/>
    </row>
    <row r="730" ht="14.25" customHeight="1">
      <c r="P730" s="60"/>
    </row>
    <row r="731" ht="14.25" customHeight="1">
      <c r="P731" s="60"/>
    </row>
    <row r="732" ht="14.25" customHeight="1">
      <c r="P732" s="60"/>
    </row>
    <row r="733" ht="14.25" customHeight="1">
      <c r="P733" s="60"/>
    </row>
    <row r="734" ht="14.25" customHeight="1">
      <c r="P734" s="60"/>
    </row>
    <row r="735" ht="14.25" customHeight="1">
      <c r="P735" s="60"/>
    </row>
    <row r="736" ht="14.25" customHeight="1">
      <c r="P736" s="60"/>
    </row>
    <row r="737" ht="14.25" customHeight="1">
      <c r="P737" s="60"/>
    </row>
    <row r="738" ht="14.25" customHeight="1">
      <c r="P738" s="60"/>
    </row>
    <row r="739" ht="14.25" customHeight="1">
      <c r="P739" s="60"/>
    </row>
    <row r="740" ht="14.25" customHeight="1">
      <c r="P740" s="60"/>
    </row>
    <row r="741" ht="14.25" customHeight="1">
      <c r="P741" s="60"/>
    </row>
    <row r="742" ht="14.25" customHeight="1">
      <c r="P742" s="60"/>
    </row>
    <row r="743" ht="14.25" customHeight="1">
      <c r="P743" s="60"/>
    </row>
    <row r="744" ht="14.25" customHeight="1">
      <c r="P744" s="60"/>
    </row>
    <row r="745" ht="14.25" customHeight="1">
      <c r="P745" s="60"/>
    </row>
    <row r="746" ht="14.25" customHeight="1">
      <c r="P746" s="60"/>
    </row>
    <row r="747" ht="14.25" customHeight="1">
      <c r="P747" s="60"/>
    </row>
    <row r="748" ht="14.25" customHeight="1">
      <c r="P748" s="60"/>
    </row>
    <row r="749" ht="14.25" customHeight="1">
      <c r="P749" s="60"/>
    </row>
    <row r="750" ht="14.25" customHeight="1">
      <c r="P750" s="60"/>
    </row>
    <row r="751" ht="14.25" customHeight="1">
      <c r="P751" s="60"/>
    </row>
    <row r="752" ht="14.25" customHeight="1">
      <c r="P752" s="60"/>
    </row>
    <row r="753" ht="14.25" customHeight="1">
      <c r="P753" s="60"/>
    </row>
    <row r="754" ht="14.25" customHeight="1">
      <c r="P754" s="60"/>
    </row>
    <row r="755" ht="14.25" customHeight="1">
      <c r="P755" s="60"/>
    </row>
    <row r="756" ht="14.25" customHeight="1">
      <c r="P756" s="60"/>
    </row>
    <row r="757" ht="14.25" customHeight="1">
      <c r="P757" s="60"/>
    </row>
    <row r="758" ht="14.25" customHeight="1">
      <c r="P758" s="60"/>
    </row>
    <row r="759" ht="14.25" customHeight="1">
      <c r="P759" s="60"/>
    </row>
    <row r="760" ht="14.25" customHeight="1">
      <c r="P760" s="60"/>
    </row>
    <row r="761" ht="14.25" customHeight="1">
      <c r="P761" s="60"/>
    </row>
    <row r="762" ht="14.25" customHeight="1">
      <c r="P762" s="60"/>
    </row>
    <row r="763" ht="14.25" customHeight="1">
      <c r="P763" s="60"/>
    </row>
    <row r="764" ht="14.25" customHeight="1">
      <c r="P764" s="60"/>
    </row>
    <row r="765" ht="14.25" customHeight="1">
      <c r="P765" s="60"/>
    </row>
    <row r="766" ht="14.25" customHeight="1">
      <c r="P766" s="60"/>
    </row>
    <row r="767" ht="14.25" customHeight="1">
      <c r="P767" s="60"/>
    </row>
    <row r="768" ht="14.25" customHeight="1">
      <c r="P768" s="60"/>
    </row>
    <row r="769" ht="14.25" customHeight="1">
      <c r="P769" s="60"/>
    </row>
    <row r="770" ht="14.25" customHeight="1">
      <c r="P770" s="60"/>
    </row>
    <row r="771" ht="14.25" customHeight="1">
      <c r="P771" s="60"/>
    </row>
    <row r="772" ht="14.25" customHeight="1">
      <c r="P772" s="60"/>
    </row>
    <row r="773" ht="14.25" customHeight="1">
      <c r="P773" s="60"/>
    </row>
    <row r="774" ht="14.25" customHeight="1">
      <c r="P774" s="60"/>
    </row>
    <row r="775" ht="14.25" customHeight="1">
      <c r="P775" s="60"/>
    </row>
    <row r="776" ht="14.25" customHeight="1">
      <c r="P776" s="60"/>
    </row>
    <row r="777" ht="14.25" customHeight="1">
      <c r="P777" s="60"/>
    </row>
    <row r="778" ht="14.25" customHeight="1">
      <c r="P778" s="60"/>
    </row>
    <row r="779" ht="14.25" customHeight="1">
      <c r="P779" s="60"/>
    </row>
    <row r="780" ht="14.25" customHeight="1">
      <c r="P780" s="60"/>
    </row>
    <row r="781" ht="14.25" customHeight="1">
      <c r="P781" s="60"/>
    </row>
    <row r="782" ht="14.25" customHeight="1">
      <c r="P782" s="60"/>
    </row>
    <row r="783" ht="14.25" customHeight="1">
      <c r="P783" s="60"/>
    </row>
    <row r="784" ht="14.25" customHeight="1">
      <c r="P784" s="60"/>
    </row>
    <row r="785" ht="14.25" customHeight="1">
      <c r="P785" s="60"/>
    </row>
    <row r="786" ht="14.25" customHeight="1">
      <c r="P786" s="60"/>
    </row>
    <row r="787" ht="14.25" customHeight="1">
      <c r="P787" s="60"/>
    </row>
    <row r="788" ht="14.25" customHeight="1">
      <c r="P788" s="60"/>
    </row>
    <row r="789" ht="14.25" customHeight="1">
      <c r="P789" s="60"/>
    </row>
    <row r="790" ht="14.25" customHeight="1">
      <c r="P790" s="60"/>
    </row>
    <row r="791" ht="14.25" customHeight="1">
      <c r="P791" s="60"/>
    </row>
    <row r="792" ht="14.25" customHeight="1">
      <c r="P792" s="60"/>
    </row>
    <row r="793" ht="14.25" customHeight="1">
      <c r="P793" s="60"/>
    </row>
    <row r="794" ht="14.25" customHeight="1">
      <c r="P794" s="60"/>
    </row>
    <row r="795" ht="14.25" customHeight="1">
      <c r="P795" s="60"/>
    </row>
    <row r="796" ht="14.25" customHeight="1">
      <c r="P796" s="60"/>
    </row>
    <row r="797" ht="14.25" customHeight="1">
      <c r="P797" s="60"/>
    </row>
    <row r="798" ht="14.25" customHeight="1">
      <c r="P798" s="60"/>
    </row>
    <row r="799" ht="14.25" customHeight="1">
      <c r="P799" s="60"/>
    </row>
    <row r="800" ht="14.25" customHeight="1">
      <c r="P800" s="60"/>
    </row>
    <row r="801" ht="14.25" customHeight="1">
      <c r="P801" s="60"/>
    </row>
    <row r="802" ht="14.25" customHeight="1">
      <c r="P802" s="60"/>
    </row>
    <row r="803" ht="14.25" customHeight="1">
      <c r="P803" s="60"/>
    </row>
    <row r="804" ht="14.25" customHeight="1">
      <c r="P804" s="60"/>
    </row>
    <row r="805" ht="14.25" customHeight="1">
      <c r="P805" s="60"/>
    </row>
    <row r="806" ht="14.25" customHeight="1">
      <c r="P806" s="60"/>
    </row>
    <row r="807" ht="14.25" customHeight="1">
      <c r="P807" s="60"/>
    </row>
    <row r="808" ht="14.25" customHeight="1">
      <c r="P808" s="60"/>
    </row>
    <row r="809" ht="14.25" customHeight="1">
      <c r="P809" s="60"/>
    </row>
    <row r="810" ht="14.25" customHeight="1">
      <c r="P810" s="60"/>
    </row>
    <row r="811" ht="14.25" customHeight="1">
      <c r="P811" s="60"/>
    </row>
    <row r="812" ht="14.25" customHeight="1">
      <c r="P812" s="60"/>
    </row>
    <row r="813" ht="14.25" customHeight="1">
      <c r="P813" s="60"/>
    </row>
    <row r="814" ht="14.25" customHeight="1">
      <c r="P814" s="60"/>
    </row>
    <row r="815" ht="14.25" customHeight="1">
      <c r="P815" s="60"/>
    </row>
    <row r="816" ht="14.25" customHeight="1">
      <c r="P816" s="60"/>
    </row>
    <row r="817" ht="14.25" customHeight="1">
      <c r="P817" s="60"/>
    </row>
    <row r="818" ht="14.25" customHeight="1">
      <c r="P818" s="60"/>
    </row>
    <row r="819" ht="14.25" customHeight="1">
      <c r="P819" s="60"/>
    </row>
    <row r="820" ht="14.25" customHeight="1">
      <c r="P820" s="60"/>
    </row>
    <row r="821" ht="14.25" customHeight="1">
      <c r="P821" s="60"/>
    </row>
    <row r="822" ht="14.25" customHeight="1">
      <c r="P822" s="60"/>
    </row>
    <row r="823" ht="14.25" customHeight="1">
      <c r="P823" s="60"/>
    </row>
    <row r="824" ht="14.25" customHeight="1">
      <c r="P824" s="60"/>
    </row>
    <row r="825" ht="14.25" customHeight="1">
      <c r="P825" s="60"/>
    </row>
    <row r="826" ht="14.25" customHeight="1">
      <c r="P826" s="60"/>
    </row>
    <row r="827" ht="14.25" customHeight="1">
      <c r="P827" s="60"/>
    </row>
    <row r="828" ht="14.25" customHeight="1">
      <c r="P828" s="60"/>
    </row>
    <row r="829" ht="14.25" customHeight="1">
      <c r="P829" s="60"/>
    </row>
    <row r="830" ht="14.25" customHeight="1">
      <c r="P830" s="60"/>
    </row>
    <row r="831" ht="14.25" customHeight="1">
      <c r="P831" s="60"/>
    </row>
    <row r="832" ht="14.25" customHeight="1">
      <c r="P832" s="60"/>
    </row>
    <row r="833" ht="14.25" customHeight="1">
      <c r="P833" s="60"/>
    </row>
    <row r="834" ht="14.25" customHeight="1">
      <c r="P834" s="60"/>
    </row>
    <row r="835" ht="14.25" customHeight="1">
      <c r="P835" s="60"/>
    </row>
    <row r="836" ht="14.25" customHeight="1">
      <c r="P836" s="60"/>
    </row>
    <row r="837" ht="14.25" customHeight="1">
      <c r="P837" s="60"/>
    </row>
    <row r="838" ht="14.25" customHeight="1">
      <c r="P838" s="60"/>
    </row>
    <row r="839" ht="14.25" customHeight="1">
      <c r="P839" s="60"/>
    </row>
    <row r="840" ht="14.25" customHeight="1">
      <c r="P840" s="60"/>
    </row>
    <row r="841" ht="14.25" customHeight="1">
      <c r="P841" s="60"/>
    </row>
    <row r="842" ht="14.25" customHeight="1">
      <c r="P842" s="60"/>
    </row>
    <row r="843" ht="14.25" customHeight="1">
      <c r="P843" s="60"/>
    </row>
    <row r="844" ht="14.25" customHeight="1">
      <c r="P844" s="60"/>
    </row>
    <row r="845" ht="14.25" customHeight="1">
      <c r="P845" s="60"/>
    </row>
    <row r="846" ht="14.25" customHeight="1">
      <c r="P846" s="60"/>
    </row>
    <row r="847" ht="14.25" customHeight="1">
      <c r="P847" s="60"/>
    </row>
    <row r="848" ht="14.25" customHeight="1">
      <c r="P848" s="60"/>
    </row>
    <row r="849" ht="14.25" customHeight="1">
      <c r="P849" s="60"/>
    </row>
    <row r="850" ht="14.25" customHeight="1">
      <c r="P850" s="60"/>
    </row>
    <row r="851" ht="14.25" customHeight="1">
      <c r="P851" s="60"/>
    </row>
    <row r="852" ht="14.25" customHeight="1">
      <c r="P852" s="60"/>
    </row>
    <row r="853" ht="14.25" customHeight="1">
      <c r="P853" s="60"/>
    </row>
    <row r="854" ht="14.25" customHeight="1">
      <c r="P854" s="60"/>
    </row>
    <row r="855" ht="14.25" customHeight="1">
      <c r="P855" s="60"/>
    </row>
    <row r="856" ht="14.25" customHeight="1">
      <c r="P856" s="60"/>
    </row>
    <row r="857" ht="14.25" customHeight="1">
      <c r="P857" s="60"/>
    </row>
    <row r="858" ht="14.25" customHeight="1">
      <c r="P858" s="60"/>
    </row>
    <row r="859" ht="14.25" customHeight="1">
      <c r="P859" s="60"/>
    </row>
    <row r="860" ht="14.25" customHeight="1">
      <c r="P860" s="60"/>
    </row>
    <row r="861" ht="14.25" customHeight="1">
      <c r="P861" s="60"/>
    </row>
    <row r="862" ht="14.25" customHeight="1">
      <c r="P862" s="60"/>
    </row>
    <row r="863" ht="14.25" customHeight="1">
      <c r="P863" s="60"/>
    </row>
    <row r="864" ht="14.25" customHeight="1">
      <c r="P864" s="60"/>
    </row>
    <row r="865" ht="14.25" customHeight="1">
      <c r="P865" s="60"/>
    </row>
    <row r="866" ht="14.25" customHeight="1">
      <c r="P866" s="60"/>
    </row>
    <row r="867" ht="14.25" customHeight="1">
      <c r="P867" s="60"/>
    </row>
    <row r="868" ht="14.25" customHeight="1">
      <c r="P868" s="60"/>
    </row>
    <row r="869" ht="14.25" customHeight="1">
      <c r="P869" s="60"/>
    </row>
    <row r="870" ht="14.25" customHeight="1">
      <c r="P870" s="60"/>
    </row>
    <row r="871" ht="14.25" customHeight="1">
      <c r="P871" s="60"/>
    </row>
    <row r="872" ht="14.25" customHeight="1">
      <c r="P872" s="60"/>
    </row>
    <row r="873" ht="14.25" customHeight="1">
      <c r="P873" s="60"/>
    </row>
    <row r="874" ht="14.25" customHeight="1">
      <c r="P874" s="60"/>
    </row>
    <row r="875" ht="14.25" customHeight="1">
      <c r="P875" s="60"/>
    </row>
    <row r="876" ht="14.25" customHeight="1">
      <c r="P876" s="60"/>
    </row>
    <row r="877" ht="14.25" customHeight="1">
      <c r="P877" s="60"/>
    </row>
    <row r="878" ht="14.25" customHeight="1">
      <c r="P878" s="60"/>
    </row>
    <row r="879" ht="14.25" customHeight="1">
      <c r="P879" s="60"/>
    </row>
    <row r="880" ht="14.25" customHeight="1">
      <c r="P880" s="60"/>
    </row>
    <row r="881" ht="14.25" customHeight="1">
      <c r="P881" s="60"/>
    </row>
    <row r="882" ht="14.25" customHeight="1">
      <c r="P882" s="60"/>
    </row>
    <row r="883" ht="14.25" customHeight="1">
      <c r="P883" s="60"/>
    </row>
    <row r="884" ht="14.25" customHeight="1">
      <c r="P884" s="60"/>
    </row>
    <row r="885" ht="14.25" customHeight="1">
      <c r="P885" s="60"/>
    </row>
    <row r="886" ht="14.25" customHeight="1">
      <c r="P886" s="60"/>
    </row>
    <row r="887" ht="14.25" customHeight="1">
      <c r="P887" s="60"/>
    </row>
    <row r="888" ht="14.25" customHeight="1">
      <c r="P888" s="60"/>
    </row>
    <row r="889" ht="14.25" customHeight="1">
      <c r="P889" s="60"/>
    </row>
    <row r="890" ht="14.25" customHeight="1">
      <c r="P890" s="60"/>
    </row>
    <row r="891" ht="14.25" customHeight="1">
      <c r="P891" s="60"/>
    </row>
    <row r="892" ht="14.25" customHeight="1">
      <c r="P892" s="60"/>
    </row>
    <row r="893" ht="14.25" customHeight="1">
      <c r="P893" s="60"/>
    </row>
    <row r="894" ht="14.25" customHeight="1">
      <c r="P894" s="60"/>
    </row>
    <row r="895" ht="14.25" customHeight="1">
      <c r="P895" s="60"/>
    </row>
    <row r="896" ht="14.25" customHeight="1">
      <c r="P896" s="60"/>
    </row>
    <row r="897" ht="14.25" customHeight="1">
      <c r="P897" s="60"/>
    </row>
    <row r="898" ht="14.25" customHeight="1">
      <c r="P898" s="60"/>
    </row>
    <row r="899" ht="14.25" customHeight="1">
      <c r="P899" s="60"/>
    </row>
    <row r="900" ht="14.25" customHeight="1">
      <c r="P900" s="60"/>
    </row>
    <row r="901" ht="14.25" customHeight="1">
      <c r="P901" s="60"/>
    </row>
    <row r="902" ht="14.25" customHeight="1">
      <c r="P902" s="60"/>
    </row>
    <row r="903" ht="14.25" customHeight="1">
      <c r="P903" s="60"/>
    </row>
    <row r="904" ht="14.25" customHeight="1">
      <c r="P904" s="60"/>
    </row>
    <row r="905" ht="14.25" customHeight="1">
      <c r="P905" s="60"/>
    </row>
    <row r="906" ht="14.25" customHeight="1">
      <c r="P906" s="60"/>
    </row>
    <row r="907" ht="14.25" customHeight="1">
      <c r="P907" s="60"/>
    </row>
    <row r="908" ht="14.25" customHeight="1">
      <c r="P908" s="60"/>
    </row>
    <row r="909" ht="14.25" customHeight="1">
      <c r="P909" s="60"/>
    </row>
    <row r="910" ht="14.25" customHeight="1">
      <c r="P910" s="60"/>
    </row>
    <row r="911" ht="14.25" customHeight="1">
      <c r="P911" s="60"/>
    </row>
    <row r="912" ht="14.25" customHeight="1">
      <c r="P912" s="60"/>
    </row>
    <row r="913" ht="14.25" customHeight="1">
      <c r="P913" s="60"/>
    </row>
    <row r="914" ht="14.25" customHeight="1">
      <c r="P914" s="60"/>
    </row>
    <row r="915" ht="14.25" customHeight="1">
      <c r="P915" s="60"/>
    </row>
    <row r="916" ht="14.25" customHeight="1">
      <c r="P916" s="60"/>
    </row>
    <row r="917" ht="14.25" customHeight="1">
      <c r="P917" s="60"/>
    </row>
    <row r="918" ht="14.25" customHeight="1">
      <c r="P918" s="60"/>
    </row>
    <row r="919" ht="14.25" customHeight="1">
      <c r="P919" s="60"/>
    </row>
    <row r="920" ht="14.25" customHeight="1">
      <c r="P920" s="60"/>
    </row>
    <row r="921" ht="14.25" customHeight="1">
      <c r="P921" s="60"/>
    </row>
    <row r="922" ht="14.25" customHeight="1">
      <c r="P922" s="60"/>
    </row>
    <row r="923" ht="14.25" customHeight="1">
      <c r="P923" s="60"/>
    </row>
    <row r="924" ht="14.25" customHeight="1">
      <c r="P924" s="60"/>
    </row>
    <row r="925" ht="14.25" customHeight="1">
      <c r="P925" s="60"/>
    </row>
    <row r="926" ht="14.25" customHeight="1">
      <c r="P926" s="60"/>
    </row>
    <row r="927" ht="14.25" customHeight="1">
      <c r="P927" s="60"/>
    </row>
    <row r="928" ht="14.25" customHeight="1">
      <c r="P928" s="60"/>
    </row>
    <row r="929" ht="14.25" customHeight="1">
      <c r="P929" s="60"/>
    </row>
    <row r="930" ht="14.25" customHeight="1">
      <c r="P930" s="60"/>
    </row>
    <row r="931" ht="14.25" customHeight="1">
      <c r="P931" s="60"/>
    </row>
    <row r="932" ht="14.25" customHeight="1">
      <c r="P932" s="60"/>
    </row>
    <row r="933" ht="14.25" customHeight="1">
      <c r="P933" s="60"/>
    </row>
    <row r="934" ht="14.25" customHeight="1">
      <c r="P934" s="60"/>
    </row>
    <row r="935" ht="14.25" customHeight="1">
      <c r="P935" s="60"/>
    </row>
    <row r="936" ht="14.25" customHeight="1">
      <c r="P936" s="60"/>
    </row>
    <row r="937" ht="14.25" customHeight="1">
      <c r="P937" s="60"/>
    </row>
    <row r="938" ht="14.25" customHeight="1">
      <c r="P938" s="60"/>
    </row>
    <row r="939" ht="14.25" customHeight="1">
      <c r="P939" s="60"/>
    </row>
    <row r="940" ht="14.25" customHeight="1">
      <c r="P940" s="60"/>
    </row>
    <row r="941" ht="14.25" customHeight="1">
      <c r="P941" s="60"/>
    </row>
    <row r="942" ht="14.25" customHeight="1">
      <c r="P942" s="60"/>
    </row>
    <row r="943" ht="14.25" customHeight="1">
      <c r="P943" s="60"/>
    </row>
    <row r="944" ht="14.25" customHeight="1">
      <c r="P944" s="60"/>
    </row>
    <row r="945" ht="14.25" customHeight="1">
      <c r="P945" s="60"/>
    </row>
    <row r="946" ht="14.25" customHeight="1">
      <c r="P946" s="60"/>
    </row>
    <row r="947" ht="14.25" customHeight="1">
      <c r="P947" s="60"/>
    </row>
    <row r="948" ht="14.25" customHeight="1">
      <c r="P948" s="60"/>
    </row>
    <row r="949" ht="14.25" customHeight="1">
      <c r="P949" s="60"/>
    </row>
    <row r="950" ht="14.25" customHeight="1">
      <c r="P950" s="60"/>
    </row>
    <row r="951" ht="14.25" customHeight="1">
      <c r="P951" s="60"/>
    </row>
    <row r="952" ht="14.25" customHeight="1">
      <c r="P952" s="60"/>
    </row>
    <row r="953" ht="14.25" customHeight="1">
      <c r="P953" s="60"/>
    </row>
    <row r="954" ht="14.25" customHeight="1">
      <c r="P954" s="60"/>
    </row>
    <row r="955" ht="14.25" customHeight="1">
      <c r="P955" s="60"/>
    </row>
    <row r="956" ht="14.25" customHeight="1">
      <c r="P956" s="60"/>
    </row>
    <row r="957" ht="14.25" customHeight="1">
      <c r="P957" s="60"/>
    </row>
    <row r="958" ht="14.25" customHeight="1">
      <c r="P958" s="60"/>
    </row>
    <row r="959" ht="14.25" customHeight="1">
      <c r="P959" s="60"/>
    </row>
    <row r="960" ht="14.25" customHeight="1">
      <c r="P960" s="60"/>
    </row>
    <row r="961" ht="14.25" customHeight="1">
      <c r="P961" s="60"/>
    </row>
    <row r="962" ht="14.25" customHeight="1">
      <c r="P962" s="60"/>
    </row>
    <row r="963" ht="14.25" customHeight="1">
      <c r="P963" s="60"/>
    </row>
    <row r="964" ht="14.25" customHeight="1">
      <c r="P964" s="60"/>
    </row>
    <row r="965" ht="14.25" customHeight="1">
      <c r="P965" s="60"/>
    </row>
    <row r="966" ht="14.25" customHeight="1">
      <c r="P966" s="60"/>
    </row>
    <row r="967" ht="14.25" customHeight="1">
      <c r="P967" s="60"/>
    </row>
    <row r="968" ht="14.25" customHeight="1">
      <c r="P968" s="60"/>
    </row>
    <row r="969" ht="14.25" customHeight="1">
      <c r="P969" s="60"/>
    </row>
    <row r="970" ht="14.25" customHeight="1">
      <c r="P970" s="60"/>
    </row>
    <row r="971" ht="14.25" customHeight="1">
      <c r="P971" s="60"/>
    </row>
    <row r="972" ht="14.25" customHeight="1">
      <c r="P972" s="60"/>
    </row>
    <row r="973" ht="14.25" customHeight="1">
      <c r="P973" s="60"/>
    </row>
    <row r="974" ht="14.25" customHeight="1">
      <c r="P974" s="60"/>
    </row>
    <row r="975" ht="14.25" customHeight="1">
      <c r="P975" s="60"/>
    </row>
    <row r="976" ht="14.25" customHeight="1">
      <c r="P976" s="60"/>
    </row>
    <row r="977" ht="14.25" customHeight="1">
      <c r="P977" s="60"/>
    </row>
    <row r="978" ht="14.25" customHeight="1">
      <c r="P978" s="60"/>
    </row>
    <row r="979" ht="14.25" customHeight="1">
      <c r="P979" s="60"/>
    </row>
    <row r="980" ht="14.25" customHeight="1">
      <c r="P980" s="60"/>
    </row>
    <row r="981" ht="14.25" customHeight="1">
      <c r="P981" s="60"/>
    </row>
    <row r="982" ht="14.25" customHeight="1">
      <c r="P982" s="60"/>
    </row>
    <row r="983" ht="14.25" customHeight="1">
      <c r="P983" s="60"/>
    </row>
    <row r="984" ht="14.25" customHeight="1">
      <c r="P984" s="60"/>
    </row>
    <row r="985" ht="14.25" customHeight="1">
      <c r="P985" s="60"/>
    </row>
    <row r="986" ht="14.25" customHeight="1">
      <c r="P986" s="60"/>
    </row>
    <row r="987" ht="14.25" customHeight="1">
      <c r="P987" s="60"/>
    </row>
    <row r="988" ht="14.25" customHeight="1">
      <c r="P988" s="60"/>
    </row>
    <row r="989" ht="14.25" customHeight="1">
      <c r="P989" s="60"/>
    </row>
    <row r="990" ht="14.25" customHeight="1">
      <c r="P990" s="60"/>
    </row>
    <row r="991" ht="14.25" customHeight="1">
      <c r="P991" s="60"/>
    </row>
    <row r="992" ht="14.25" customHeight="1">
      <c r="P992" s="60"/>
    </row>
    <row r="993" ht="14.25" customHeight="1">
      <c r="P993" s="60"/>
    </row>
    <row r="994" ht="14.25" customHeight="1">
      <c r="P994" s="60"/>
    </row>
    <row r="995" ht="14.25" customHeight="1">
      <c r="P995" s="60"/>
    </row>
    <row r="996" ht="14.25" customHeight="1">
      <c r="P996" s="60"/>
    </row>
    <row r="997" ht="14.25" customHeight="1">
      <c r="P997" s="60"/>
    </row>
    <row r="998" ht="14.25" customHeight="1">
      <c r="P998" s="60"/>
    </row>
    <row r="999" ht="14.25" customHeight="1">
      <c r="P999" s="60"/>
    </row>
    <row r="1000" ht="14.25" customHeight="1">
      <c r="P1000" s="60"/>
    </row>
  </sheetData>
  <mergeCells count="14">
    <mergeCell ref="G57:L57"/>
    <mergeCell ref="G58:L58"/>
    <mergeCell ref="G68:M68"/>
    <mergeCell ref="M74:O74"/>
    <mergeCell ref="Q74:S74"/>
    <mergeCell ref="G78:M78"/>
    <mergeCell ref="G88:M88"/>
    <mergeCell ref="G1:L1"/>
    <mergeCell ref="T1:U1"/>
    <mergeCell ref="J2:K2"/>
    <mergeCell ref="G4:U4"/>
    <mergeCell ref="J53:K53"/>
    <mergeCell ref="G54:L54"/>
    <mergeCell ref="G55:L55"/>
  </mergeCells>
  <printOptions/>
  <pageMargins bottom="0.75" footer="0.0" header="0.0" left="0.7" right="0.7" top="0.75"/>
  <pageSetup paperSize="8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2006-09-13T11:26:54Z</dcterms:created>
</cp:coreProperties>
</file>