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 resort" sheetId="1" r:id="rId4"/>
  </sheets>
  <definedNames/>
  <calcPr/>
  <extLst>
    <ext uri="GoogleSheetsCustomDataVersion2">
      <go:sheetsCustomData xmlns:go="http://customooxmlschemas.google.com/" r:id="rId5" roundtripDataChecksum="QtEUpvQgUZ6fRicE6HRSsqYob5ZUlv/nB93IhSDtx2g="/>
    </ext>
  </extLst>
</workbook>
</file>

<file path=xl/sharedStrings.xml><?xml version="1.0" encoding="utf-8"?>
<sst xmlns="http://schemas.openxmlformats.org/spreadsheetml/2006/main" count="866" uniqueCount="54">
  <si>
    <t>Mark ResortPrice List</t>
  </si>
  <si>
    <t>Hold</t>
  </si>
  <si>
    <t>Reserved</t>
  </si>
  <si>
    <t>Sold</t>
  </si>
  <si>
    <t>Building(1)</t>
  </si>
  <si>
    <t>Apt.NO</t>
  </si>
  <si>
    <t>Level</t>
  </si>
  <si>
    <t>Type</t>
  </si>
  <si>
    <t>View</t>
  </si>
  <si>
    <t>Size</t>
  </si>
  <si>
    <t>price EGP</t>
  </si>
  <si>
    <t>price m2</t>
  </si>
  <si>
    <t>price euro</t>
  </si>
  <si>
    <t>FirstFloor</t>
  </si>
  <si>
    <t>First</t>
  </si>
  <si>
    <t>OneBed</t>
  </si>
  <si>
    <t>Pool</t>
  </si>
  <si>
    <t>Studio</t>
  </si>
  <si>
    <t>TwoBed</t>
  </si>
  <si>
    <t>mamsha&amp;pool</t>
  </si>
  <si>
    <t>mamsha</t>
  </si>
  <si>
    <t>SecondFloor</t>
  </si>
  <si>
    <t>Scond</t>
  </si>
  <si>
    <t>mamsha &amp;pool</t>
  </si>
  <si>
    <t xml:space="preserve">mamsha </t>
  </si>
  <si>
    <t>ThirdFloor</t>
  </si>
  <si>
    <t>Third</t>
  </si>
  <si>
    <t>mamsha  &amp;Pool</t>
  </si>
  <si>
    <t>FourthFloor</t>
  </si>
  <si>
    <t>Fourth</t>
  </si>
  <si>
    <t>mamsha  &amp; Pool</t>
  </si>
  <si>
    <t>Building(2)</t>
  </si>
  <si>
    <t>Price EGP</t>
  </si>
  <si>
    <t>TاhreeBed</t>
  </si>
  <si>
    <t>air port road</t>
  </si>
  <si>
    <t>3.717.000</t>
  </si>
  <si>
    <t>Building(3)</t>
  </si>
  <si>
    <t>price Euro</t>
  </si>
  <si>
    <t>oneBed</t>
  </si>
  <si>
    <t>threeBed</t>
  </si>
  <si>
    <t xml:space="preserve">mamsha &amp; pool </t>
  </si>
  <si>
    <t>mamsha &amp; pool</t>
  </si>
  <si>
    <t>Building(4)</t>
  </si>
  <si>
    <t>price euro m2</t>
  </si>
  <si>
    <t>twoBed</t>
  </si>
  <si>
    <t>Building(5)</t>
  </si>
  <si>
    <t>three bed</t>
  </si>
  <si>
    <t>4.600.000</t>
  </si>
  <si>
    <t>Building(6)</t>
  </si>
  <si>
    <t>studio</t>
  </si>
  <si>
    <t>25%downpayment            33 month                  (one bedroom)</t>
  </si>
  <si>
    <t>35%downpayment            40 month                   (one bedroom)</t>
  </si>
  <si>
    <t>20%downpayment            33 month       (two and three bedroom)</t>
  </si>
  <si>
    <t>30%downpayment            40 month       (two and three bedroom)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</si>
</sst>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\)"/>
  </numFmts>
  <fonts count="20">
    <font>
      <sz val="11.0"/>
      <color theme="1"/>
      <name val="Calibri"/>
      <scheme val="minor"/>
    </font>
    <font>
      <b/>
      <sz val="20.0"/>
      <color theme="1"/>
      <name val="Calibri"/>
    </font>
    <font/>
    <font>
      <sz val="11.0"/>
      <color theme="1"/>
      <name val="Calibri"/>
    </font>
    <font>
      <sz val="36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sz val="10.0"/>
      <color theme="1"/>
      <name val="Times New Roman"/>
    </font>
    <font>
      <sz val="12.0"/>
      <color theme="1"/>
      <name val="Times New Roman"/>
    </font>
    <font>
      <sz val="11.0"/>
      <color theme="1"/>
      <name val="Times New Roman"/>
    </font>
    <font>
      <sz val="11.0"/>
      <color rgb="FFFF0000"/>
      <name val="Calibri"/>
    </font>
    <font>
      <color theme="1"/>
      <name val="Calibri"/>
      <scheme val="minor"/>
    </font>
    <font>
      <sz val="11.0"/>
      <color rgb="FF000000"/>
      <name val="Calibri"/>
    </font>
    <font>
      <sz val="36.0"/>
      <color rgb="FF000000"/>
      <name val="Calibri"/>
    </font>
    <font>
      <b/>
      <sz val="11.0"/>
      <color rgb="FF000000"/>
      <name val="Calibri"/>
    </font>
    <font>
      <sz val="10.0"/>
      <color rgb="FF000000"/>
      <name val="Calibri"/>
    </font>
    <font>
      <sz val="10.0"/>
      <color rgb="FF000000"/>
      <name val="Times New Roman"/>
    </font>
    <font>
      <b/>
      <sz val="10.0"/>
      <color rgb="FF000000"/>
      <name val="Times New Roman"/>
    </font>
    <font>
      <b/>
      <sz val="16.0"/>
      <color theme="1"/>
      <name val="Calibri"/>
    </font>
    <font>
      <sz val="11.0"/>
      <color rgb="FF999999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</fills>
  <borders count="1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top" wrapText="1"/>
    </xf>
    <xf borderId="4" fillId="4" fontId="3" numFmtId="0" xfId="0" applyAlignment="1" applyBorder="1" applyFill="1" applyFont="1">
      <alignment horizontal="center" shrinkToFit="0" vertical="top" wrapText="1"/>
    </xf>
    <xf borderId="4" fillId="5" fontId="3" numFmtId="0" xfId="0" applyAlignment="1" applyBorder="1" applyFill="1" applyFont="1">
      <alignment horizontal="center" shrinkToFit="0" vertical="top" wrapText="1"/>
    </xf>
    <xf borderId="1" fillId="6" fontId="4" numFmtId="0" xfId="0" applyAlignment="1" applyBorder="1" applyFill="1" applyFont="1">
      <alignment horizontal="center" shrinkToFit="0" vertical="top" wrapText="1"/>
    </xf>
    <xf borderId="1" fillId="7" fontId="5" numFmtId="0" xfId="0" applyAlignment="1" applyBorder="1" applyFill="1" applyFont="1">
      <alignment horizontal="center" shrinkToFit="0" vertical="top" wrapText="1"/>
    </xf>
    <xf borderId="0" fillId="0" fontId="6" numFmtId="0" xfId="0" applyFont="1"/>
    <xf borderId="4" fillId="4" fontId="7" numFmtId="0" xfId="0" applyAlignment="1" applyBorder="1" applyFont="1">
      <alignment horizontal="center" shrinkToFit="0" vertical="top" wrapText="1"/>
    </xf>
    <xf borderId="4" fillId="4" fontId="3" numFmtId="3" xfId="0" applyAlignment="1" applyBorder="1" applyFont="1" applyNumberFormat="1">
      <alignment horizontal="center" shrinkToFit="0" vertical="top" wrapText="1"/>
    </xf>
    <xf borderId="4" fillId="4" fontId="3" numFmtId="3" xfId="0" applyAlignment="1" applyBorder="1" applyFont="1" applyNumberFormat="1">
      <alignment horizontal="center" readingOrder="0" shrinkToFit="0" vertical="top" wrapText="1"/>
    </xf>
    <xf borderId="4" fillId="4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4" fillId="0" fontId="3" numFmtId="3" xfId="0" applyAlignment="1" applyBorder="1" applyFont="1" applyNumberFormat="1">
      <alignment horizontal="center" shrinkToFit="0" vertical="top" wrapText="1"/>
    </xf>
    <xf borderId="4" fillId="0" fontId="3" numFmtId="0" xfId="0" applyAlignment="1" applyBorder="1" applyFont="1">
      <alignment horizontal="center"/>
    </xf>
    <xf borderId="1" fillId="7" fontId="3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center" shrinkToFit="0" vertical="top" wrapText="1"/>
    </xf>
    <xf borderId="4" fillId="0" fontId="3" numFmtId="3" xfId="0" applyAlignment="1" applyBorder="1" applyFont="1" applyNumberFormat="1">
      <alignment horizontal="center"/>
    </xf>
    <xf borderId="4" fillId="5" fontId="8" numFmtId="0" xfId="0" applyAlignment="1" applyBorder="1" applyFont="1">
      <alignment horizontal="center" shrinkToFit="0" vertical="top" wrapText="1"/>
    </xf>
    <xf borderId="4" fillId="5" fontId="3" numFmtId="3" xfId="0" applyAlignment="1" applyBorder="1" applyFont="1" applyNumberFormat="1">
      <alignment horizontal="center"/>
    </xf>
    <xf borderId="4" fillId="5" fontId="3" numFmtId="0" xfId="0" applyAlignment="1" applyBorder="1" applyFont="1">
      <alignment horizontal="center"/>
    </xf>
    <xf borderId="4" fillId="0" fontId="3" numFmtId="3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8" fontId="3" numFmtId="0" xfId="0" applyAlignment="1" applyBorder="1" applyFill="1" applyFont="1">
      <alignment horizontal="center" shrinkToFit="0" vertical="top" wrapText="1"/>
    </xf>
    <xf borderId="4" fillId="8" fontId="8" numFmtId="0" xfId="0" applyAlignment="1" applyBorder="1" applyFont="1">
      <alignment horizontal="center" shrinkToFit="0" vertical="top" wrapText="1"/>
    </xf>
    <xf borderId="4" fillId="8" fontId="3" numFmtId="3" xfId="0" applyAlignment="1" applyBorder="1" applyFont="1" applyNumberFormat="1">
      <alignment horizontal="center"/>
    </xf>
    <xf borderId="4" fillId="8" fontId="3" numFmtId="0" xfId="0" applyAlignment="1" applyBorder="1" applyFont="1">
      <alignment horizontal="center"/>
    </xf>
    <xf borderId="4" fillId="4" fontId="8" numFmtId="0" xfId="0" applyAlignment="1" applyBorder="1" applyFont="1">
      <alignment horizontal="center" shrinkToFit="0" vertical="top" wrapText="1"/>
    </xf>
    <xf borderId="4" fillId="4" fontId="3" numFmtId="3" xfId="0" applyAlignment="1" applyBorder="1" applyFont="1" applyNumberFormat="1">
      <alignment horizontal="center"/>
    </xf>
    <xf borderId="4" fillId="4" fontId="3" numFmtId="0" xfId="0" applyAlignment="1" applyBorder="1" applyFont="1">
      <alignment horizontal="center" readingOrder="0"/>
    </xf>
    <xf borderId="4" fillId="4" fontId="3" numFmtId="0" xfId="0" applyAlignment="1" applyBorder="1" applyFont="1">
      <alignment shrinkToFit="0" vertical="top" wrapText="1"/>
    </xf>
    <xf borderId="4" fillId="0" fontId="3" numFmtId="0" xfId="0" applyBorder="1" applyFont="1"/>
    <xf borderId="4" fillId="0" fontId="9" numFmtId="0" xfId="0" applyAlignment="1" applyBorder="1" applyFont="1">
      <alignment horizontal="center" shrinkToFit="0" vertical="top" wrapText="1"/>
    </xf>
    <xf borderId="4" fillId="4" fontId="3" numFmtId="0" xfId="0" applyBorder="1" applyFont="1"/>
    <xf borderId="4" fillId="0" fontId="3" numFmtId="3" xfId="0" applyAlignment="1" applyBorder="1" applyFont="1" applyNumberFormat="1">
      <alignment horizontal="center" readingOrder="0" shrinkToFit="0" vertical="top" wrapText="1"/>
    </xf>
    <xf borderId="4" fillId="8" fontId="10" numFmtId="0" xfId="0" applyAlignment="1" applyBorder="1" applyFont="1">
      <alignment horizontal="center" shrinkToFit="0" vertical="top" wrapText="1"/>
    </xf>
    <xf borderId="0" fillId="8" fontId="11" numFmtId="0" xfId="0" applyFont="1"/>
    <xf borderId="4" fillId="9" fontId="3" numFmtId="0" xfId="0" applyAlignment="1" applyBorder="1" applyFill="1" applyFont="1">
      <alignment horizontal="center"/>
    </xf>
    <xf borderId="4" fillId="0" fontId="10" numFmtId="0" xfId="0" applyAlignment="1" applyBorder="1" applyFont="1">
      <alignment horizontal="center" shrinkToFit="0" vertical="top" wrapText="1"/>
    </xf>
    <xf borderId="4" fillId="9" fontId="3" numFmtId="0" xfId="0" applyAlignment="1" applyBorder="1" applyFont="1">
      <alignment horizontal="center" shrinkToFit="0" vertical="top" wrapText="1"/>
    </xf>
    <xf borderId="4" fillId="9" fontId="8" numFmtId="0" xfId="0" applyAlignment="1" applyBorder="1" applyFont="1">
      <alignment horizontal="center" shrinkToFit="0" vertical="top" wrapText="1"/>
    </xf>
    <xf borderId="4" fillId="9" fontId="3" numFmtId="3" xfId="0" applyAlignment="1" applyBorder="1" applyFont="1" applyNumberFormat="1">
      <alignment horizontal="center"/>
    </xf>
    <xf borderId="4" fillId="3" fontId="12" numFmtId="0" xfId="0" applyAlignment="1" applyBorder="1" applyFont="1">
      <alignment horizontal="center" shrinkToFit="0" vertical="top" wrapText="1"/>
    </xf>
    <xf borderId="4" fillId="4" fontId="12" numFmtId="0" xfId="0" applyAlignment="1" applyBorder="1" applyFont="1">
      <alignment horizontal="center" shrinkToFit="0" vertical="top" wrapText="1"/>
    </xf>
    <xf borderId="4" fillId="5" fontId="12" numFmtId="0" xfId="0" applyAlignment="1" applyBorder="1" applyFont="1">
      <alignment horizontal="center" shrinkToFit="0" vertical="top" wrapText="1"/>
    </xf>
    <xf borderId="1" fillId="6" fontId="13" numFmtId="0" xfId="0" applyAlignment="1" applyBorder="1" applyFont="1">
      <alignment horizontal="center" shrinkToFit="0" vertical="top" wrapText="1"/>
    </xf>
    <xf borderId="4" fillId="4" fontId="12" numFmtId="164" xfId="0" applyAlignment="1" applyBorder="1" applyFont="1" applyNumberFormat="1">
      <alignment horizontal="center" shrinkToFit="0" vertical="top" wrapText="1"/>
    </xf>
    <xf borderId="1" fillId="7" fontId="14" numFmtId="0" xfId="0" applyAlignment="1" applyBorder="1" applyFont="1">
      <alignment horizontal="center" shrinkToFit="0" vertical="top" wrapText="1"/>
    </xf>
    <xf borderId="4" fillId="0" fontId="12" numFmtId="0" xfId="0" applyAlignment="1" applyBorder="1" applyFont="1">
      <alignment horizontal="center" shrinkToFit="0" vertical="top" wrapText="1"/>
    </xf>
    <xf borderId="4" fillId="0" fontId="15" numFmtId="0" xfId="0" applyAlignment="1" applyBorder="1" applyFont="1">
      <alignment horizontal="center" shrinkToFit="0" vertical="top" wrapText="1"/>
    </xf>
    <xf borderId="4" fillId="0" fontId="16" numFmtId="0" xfId="0" applyAlignment="1" applyBorder="1" applyFont="1">
      <alignment horizontal="center" shrinkToFit="0" vertical="top" wrapText="1"/>
    </xf>
    <xf borderId="4" fillId="0" fontId="12" numFmtId="164" xfId="0" applyAlignment="1" applyBorder="1" applyFont="1" applyNumberFormat="1">
      <alignment horizontal="center"/>
    </xf>
    <xf borderId="4" fillId="0" fontId="12" numFmtId="0" xfId="0" applyAlignment="1" applyBorder="1" applyFont="1">
      <alignment horizontal="center"/>
    </xf>
    <xf borderId="4" fillId="8" fontId="12" numFmtId="0" xfId="0" applyAlignment="1" applyBorder="1" applyFont="1">
      <alignment horizontal="center" shrinkToFit="0" vertical="top" wrapText="1"/>
    </xf>
    <xf borderId="4" fillId="8" fontId="15" numFmtId="0" xfId="0" applyAlignment="1" applyBorder="1" applyFont="1">
      <alignment horizontal="center" shrinkToFit="0" vertical="top" wrapText="1"/>
    </xf>
    <xf borderId="4" fillId="8" fontId="16" numFmtId="0" xfId="0" applyAlignment="1" applyBorder="1" applyFont="1">
      <alignment horizontal="center" shrinkToFit="0" vertical="top" wrapText="1"/>
    </xf>
    <xf borderId="4" fillId="8" fontId="12" numFmtId="164" xfId="0" applyAlignment="1" applyBorder="1" applyFont="1" applyNumberFormat="1">
      <alignment horizontal="center"/>
    </xf>
    <xf borderId="4" fillId="8" fontId="12" numFmtId="0" xfId="0" applyAlignment="1" applyBorder="1" applyFont="1">
      <alignment horizontal="center"/>
    </xf>
    <xf borderId="4" fillId="9" fontId="12" numFmtId="0" xfId="0" applyAlignment="1" applyBorder="1" applyFont="1">
      <alignment horizontal="center" shrinkToFit="0" vertical="top" wrapText="1"/>
    </xf>
    <xf borderId="4" fillId="9" fontId="16" numFmtId="0" xfId="0" applyAlignment="1" applyBorder="1" applyFont="1">
      <alignment horizontal="center" shrinkToFit="0" vertical="top" wrapText="1"/>
    </xf>
    <xf borderId="4" fillId="9" fontId="12" numFmtId="164" xfId="0" applyAlignment="1" applyBorder="1" applyFont="1" applyNumberFormat="1">
      <alignment horizontal="center"/>
    </xf>
    <xf borderId="4" fillId="5" fontId="16" numFmtId="0" xfId="0" applyAlignment="1" applyBorder="1" applyFont="1">
      <alignment horizontal="center" shrinkToFit="0" vertical="top" wrapText="1"/>
    </xf>
    <xf borderId="4" fillId="5" fontId="12" numFmtId="164" xfId="0" applyAlignment="1" applyBorder="1" applyFont="1" applyNumberFormat="1">
      <alignment horizontal="center"/>
    </xf>
    <xf borderId="4" fillId="5" fontId="12" numFmtId="0" xfId="0" applyAlignment="1" applyBorder="1" applyFont="1">
      <alignment horizontal="center"/>
    </xf>
    <xf borderId="4" fillId="4" fontId="12" numFmtId="3" xfId="0" applyAlignment="1" applyBorder="1" applyFont="1" applyNumberFormat="1">
      <alignment horizontal="center" shrinkToFit="0" vertical="top" wrapText="1"/>
    </xf>
    <xf borderId="1" fillId="7" fontId="12" numFmtId="0" xfId="0" applyAlignment="1" applyBorder="1" applyFont="1">
      <alignment horizontal="center" shrinkToFit="0" vertical="top" wrapText="1"/>
    </xf>
    <xf borderId="4" fillId="0" fontId="17" numFmtId="0" xfId="0" applyAlignment="1" applyBorder="1" applyFont="1">
      <alignment horizontal="center" shrinkToFit="0" vertical="top" wrapText="1"/>
    </xf>
    <xf borderId="4" fillId="0" fontId="12" numFmtId="3" xfId="0" applyAlignment="1" applyBorder="1" applyFont="1" applyNumberFormat="1">
      <alignment horizontal="center"/>
    </xf>
    <xf borderId="4" fillId="5" fontId="17" numFmtId="0" xfId="0" applyAlignment="1" applyBorder="1" applyFont="1">
      <alignment horizontal="center" shrinkToFit="0" vertical="top" wrapText="1"/>
    </xf>
    <xf borderId="4" fillId="5" fontId="12" numFmtId="3" xfId="0" applyAlignment="1" applyBorder="1" applyFont="1" applyNumberFormat="1">
      <alignment horizontal="center"/>
    </xf>
    <xf borderId="4" fillId="9" fontId="17" numFmtId="0" xfId="0" applyAlignment="1" applyBorder="1" applyFont="1">
      <alignment horizontal="center" shrinkToFit="0" vertical="top" wrapText="1"/>
    </xf>
    <xf borderId="4" fillId="9" fontId="12" numFmtId="3" xfId="0" applyAlignment="1" applyBorder="1" applyFont="1" applyNumberFormat="1">
      <alignment horizontal="center"/>
    </xf>
    <xf borderId="4" fillId="9" fontId="12" numFmtId="0" xfId="0" applyAlignment="1" applyBorder="1" applyFont="1">
      <alignment horizontal="center"/>
    </xf>
    <xf borderId="4" fillId="8" fontId="17" numFmtId="0" xfId="0" applyAlignment="1" applyBorder="1" applyFont="1">
      <alignment horizontal="center" shrinkToFit="0" vertical="top" wrapText="1"/>
    </xf>
    <xf borderId="4" fillId="8" fontId="12" numFmtId="3" xfId="0" applyAlignment="1" applyBorder="1" applyFont="1" applyNumberFormat="1">
      <alignment horizontal="center"/>
    </xf>
    <xf borderId="4" fillId="4" fontId="17" numFmtId="0" xfId="0" applyAlignment="1" applyBorder="1" applyFont="1">
      <alignment horizontal="center" shrinkToFit="0" vertical="top" wrapText="1"/>
    </xf>
    <xf borderId="4" fillId="4" fontId="12" numFmtId="3" xfId="0" applyAlignment="1" applyBorder="1" applyFont="1" applyNumberFormat="1">
      <alignment horizontal="center"/>
    </xf>
    <xf borderId="4" fillId="4" fontId="12" numFmtId="0" xfId="0" applyAlignment="1" applyBorder="1" applyFont="1">
      <alignment horizontal="center"/>
    </xf>
    <xf borderId="5" fillId="6" fontId="18" numFmtId="0" xfId="0" applyAlignment="1" applyBorder="1" applyFont="1">
      <alignment horizontal="left" readingOrder="0" shrinkToFit="0" vertical="top" wrapText="1"/>
    </xf>
    <xf borderId="6" fillId="0" fontId="2" numFmtId="0" xfId="0" applyBorder="1" applyFont="1"/>
    <xf borderId="7" fillId="0" fontId="2" numFmtId="0" xfId="0" applyBorder="1" applyFont="1"/>
    <xf borderId="8" fillId="10" fontId="19" numFmtId="0" xfId="0" applyAlignment="1" applyBorder="1" applyFill="1" applyFont="1">
      <alignment vertical="top"/>
    </xf>
    <xf borderId="9" fillId="6" fontId="18" numFmtId="0" xfId="0" applyAlignment="1" applyBorder="1" applyFont="1">
      <alignment horizontal="center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6" fontId="3" numFmtId="0" xfId="0" applyAlignment="1" applyBorder="1" applyFont="1">
      <alignment vertical="top"/>
    </xf>
    <xf borderId="13" fillId="6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" width="8.71"/>
    <col customWidth="1" min="3" max="3" width="17.14"/>
    <col customWidth="1" min="4" max="4" width="14.86"/>
    <col customWidth="1" min="5" max="5" width="14.57"/>
    <col customWidth="1" min="6" max="6" width="34.29"/>
    <col customWidth="1" hidden="1" min="7" max="7" width="18.43"/>
    <col customWidth="1" hidden="1" min="8" max="8" width="8.71"/>
    <col customWidth="1" min="9" max="26" width="8.71"/>
  </cols>
  <sheetData>
    <row r="1" ht="27.0" customHeight="1">
      <c r="A1" s="1" t="s">
        <v>0</v>
      </c>
      <c r="B1" s="2"/>
      <c r="C1" s="2"/>
      <c r="D1" s="2"/>
      <c r="E1" s="2"/>
      <c r="F1" s="2"/>
      <c r="G1" s="2"/>
      <c r="H1" s="3"/>
    </row>
    <row r="2" ht="47.25" customHeight="1">
      <c r="A2" s="4" t="s">
        <v>1</v>
      </c>
      <c r="B2" s="5" t="s">
        <v>2</v>
      </c>
      <c r="C2" s="6" t="s">
        <v>3</v>
      </c>
      <c r="D2" s="7" t="s">
        <v>4</v>
      </c>
      <c r="E2" s="2"/>
      <c r="F2" s="2"/>
      <c r="G2" s="2"/>
      <c r="H2" s="3"/>
    </row>
    <row r="3" ht="14.25" customHeight="1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</row>
    <row r="4" ht="14.25" customHeight="1">
      <c r="A4" s="8" t="s">
        <v>13</v>
      </c>
      <c r="B4" s="2"/>
      <c r="C4" s="2"/>
      <c r="D4" s="2"/>
      <c r="E4" s="2"/>
      <c r="F4" s="2"/>
      <c r="G4" s="2"/>
      <c r="H4" s="3"/>
      <c r="L4" s="9"/>
    </row>
    <row r="5" ht="14.25" customHeight="1">
      <c r="A5" s="5">
        <v>102.0</v>
      </c>
      <c r="B5" s="5" t="s">
        <v>14</v>
      </c>
      <c r="C5" s="5" t="s">
        <v>15</v>
      </c>
      <c r="D5" s="5" t="s">
        <v>16</v>
      </c>
      <c r="E5" s="10">
        <v>53.0</v>
      </c>
      <c r="F5" s="11">
        <f t="shared" ref="F5:F8" si="1">H5*61</f>
        <v>3168340</v>
      </c>
      <c r="G5" s="12">
        <v>980.0</v>
      </c>
      <c r="H5" s="13">
        <f t="shared" ref="H5:H10" si="2">E5*G5</f>
        <v>51940</v>
      </c>
    </row>
    <row r="6" ht="14.25" customHeight="1">
      <c r="A6" s="14">
        <v>103.0</v>
      </c>
      <c r="B6" s="14" t="s">
        <v>14</v>
      </c>
      <c r="C6" s="14" t="s">
        <v>17</v>
      </c>
      <c r="D6" s="14" t="s">
        <v>16</v>
      </c>
      <c r="E6" s="15">
        <v>58.0</v>
      </c>
      <c r="F6" s="16">
        <f t="shared" si="1"/>
        <v>3467240</v>
      </c>
      <c r="G6" s="16">
        <v>980.0</v>
      </c>
      <c r="H6" s="17">
        <f t="shared" si="2"/>
        <v>56840</v>
      </c>
    </row>
    <row r="7" ht="14.25" customHeight="1">
      <c r="A7" s="14">
        <v>104.0</v>
      </c>
      <c r="B7" s="14" t="s">
        <v>14</v>
      </c>
      <c r="C7" s="14" t="s">
        <v>18</v>
      </c>
      <c r="D7" s="14" t="s">
        <v>19</v>
      </c>
      <c r="E7" s="15">
        <v>108.0</v>
      </c>
      <c r="F7" s="16">
        <f t="shared" si="1"/>
        <v>6456240</v>
      </c>
      <c r="G7" s="16">
        <v>980.0</v>
      </c>
      <c r="H7" s="17">
        <f t="shared" si="2"/>
        <v>105840</v>
      </c>
    </row>
    <row r="8" ht="14.25" customHeight="1">
      <c r="A8" s="14">
        <v>105.0</v>
      </c>
      <c r="B8" s="14" t="s">
        <v>14</v>
      </c>
      <c r="C8" s="14" t="s">
        <v>18</v>
      </c>
      <c r="D8" s="14" t="s">
        <v>20</v>
      </c>
      <c r="E8" s="15">
        <v>88.0</v>
      </c>
      <c r="F8" s="16">
        <f t="shared" si="1"/>
        <v>5260640</v>
      </c>
      <c r="G8" s="16">
        <v>980.0</v>
      </c>
      <c r="H8" s="17">
        <f t="shared" si="2"/>
        <v>86240</v>
      </c>
    </row>
    <row r="9" ht="14.25" customHeight="1">
      <c r="A9" s="14">
        <v>106.0</v>
      </c>
      <c r="B9" s="14" t="s">
        <v>14</v>
      </c>
      <c r="C9" s="14" t="s">
        <v>18</v>
      </c>
      <c r="D9" s="14" t="s">
        <v>16</v>
      </c>
      <c r="E9" s="15">
        <v>98.0</v>
      </c>
      <c r="F9" s="16">
        <f>H9*59</f>
        <v>4943610</v>
      </c>
      <c r="G9" s="16">
        <v>855.0</v>
      </c>
      <c r="H9" s="17">
        <f t="shared" si="2"/>
        <v>83790</v>
      </c>
    </row>
    <row r="10" ht="14.25" customHeight="1">
      <c r="A10" s="14">
        <v>107.0</v>
      </c>
      <c r="B10" s="14" t="s">
        <v>14</v>
      </c>
      <c r="C10" s="14" t="s">
        <v>15</v>
      </c>
      <c r="D10" s="14" t="s">
        <v>16</v>
      </c>
      <c r="E10" s="15">
        <v>53.0</v>
      </c>
      <c r="F10" s="16">
        <f>H10*61</f>
        <v>3168340</v>
      </c>
      <c r="G10" s="16">
        <v>980.0</v>
      </c>
      <c r="H10" s="17">
        <f t="shared" si="2"/>
        <v>51940</v>
      </c>
    </row>
    <row r="11" ht="14.25" customHeight="1">
      <c r="A11" s="8" t="s">
        <v>21</v>
      </c>
      <c r="B11" s="2"/>
      <c r="C11" s="2"/>
      <c r="D11" s="2"/>
      <c r="E11" s="2"/>
      <c r="F11" s="2"/>
      <c r="G11" s="2"/>
      <c r="H11" s="3"/>
    </row>
    <row r="12" ht="14.25" customHeight="1">
      <c r="A12" s="14">
        <v>202.0</v>
      </c>
      <c r="B12" s="14" t="s">
        <v>22</v>
      </c>
      <c r="C12" s="14" t="s">
        <v>15</v>
      </c>
      <c r="D12" s="14" t="s">
        <v>16</v>
      </c>
      <c r="E12" s="15">
        <v>53.0</v>
      </c>
      <c r="F12" s="16">
        <f t="shared" ref="F12:F16" si="3">H12*61</f>
        <v>3233000</v>
      </c>
      <c r="G12" s="16">
        <v>1000.0</v>
      </c>
      <c r="H12" s="17">
        <f t="shared" ref="H12:H16" si="4">E12*G12</f>
        <v>53000</v>
      </c>
    </row>
    <row r="13" ht="14.25" customHeight="1">
      <c r="A13" s="14">
        <v>203.0</v>
      </c>
      <c r="B13" s="14" t="s">
        <v>22</v>
      </c>
      <c r="C13" s="14" t="s">
        <v>17</v>
      </c>
      <c r="D13" s="14" t="s">
        <v>16</v>
      </c>
      <c r="E13" s="15">
        <v>58.0</v>
      </c>
      <c r="F13" s="16">
        <f t="shared" si="3"/>
        <v>3538000</v>
      </c>
      <c r="G13" s="16">
        <v>1000.0</v>
      </c>
      <c r="H13" s="17">
        <f t="shared" si="4"/>
        <v>58000</v>
      </c>
    </row>
    <row r="14" ht="14.25" customHeight="1">
      <c r="A14" s="14">
        <v>204.0</v>
      </c>
      <c r="B14" s="14" t="s">
        <v>22</v>
      </c>
      <c r="C14" s="14" t="s">
        <v>18</v>
      </c>
      <c r="D14" s="14" t="s">
        <v>23</v>
      </c>
      <c r="E14" s="15">
        <v>108.0</v>
      </c>
      <c r="F14" s="16">
        <f t="shared" si="3"/>
        <v>6588000</v>
      </c>
      <c r="G14" s="16">
        <v>1000.0</v>
      </c>
      <c r="H14" s="17">
        <f t="shared" si="4"/>
        <v>108000</v>
      </c>
    </row>
    <row r="15" ht="14.25" customHeight="1">
      <c r="A15" s="14">
        <v>205.0</v>
      </c>
      <c r="B15" s="14" t="s">
        <v>22</v>
      </c>
      <c r="C15" s="14" t="s">
        <v>18</v>
      </c>
      <c r="D15" s="14" t="s">
        <v>24</v>
      </c>
      <c r="E15" s="15">
        <v>88.0</v>
      </c>
      <c r="F15" s="16">
        <f t="shared" si="3"/>
        <v>5368000</v>
      </c>
      <c r="G15" s="16">
        <v>1000.0</v>
      </c>
      <c r="H15" s="17">
        <f t="shared" si="4"/>
        <v>88000</v>
      </c>
    </row>
    <row r="16" ht="14.25" customHeight="1">
      <c r="A16" s="14">
        <v>207.0</v>
      </c>
      <c r="B16" s="14" t="s">
        <v>22</v>
      </c>
      <c r="C16" s="14" t="s">
        <v>15</v>
      </c>
      <c r="D16" s="14" t="s">
        <v>16</v>
      </c>
      <c r="E16" s="15">
        <v>53.0</v>
      </c>
      <c r="F16" s="16">
        <f t="shared" si="3"/>
        <v>3233000</v>
      </c>
      <c r="G16" s="16">
        <v>1000.0</v>
      </c>
      <c r="H16" s="17">
        <f t="shared" si="4"/>
        <v>53000</v>
      </c>
    </row>
    <row r="17" ht="14.25" customHeight="1">
      <c r="A17" s="8" t="s">
        <v>25</v>
      </c>
      <c r="B17" s="2"/>
      <c r="C17" s="2"/>
      <c r="D17" s="2"/>
      <c r="E17" s="2"/>
      <c r="F17" s="2"/>
      <c r="G17" s="2"/>
      <c r="H17" s="3"/>
    </row>
    <row r="18" ht="14.25" customHeight="1">
      <c r="A18" s="14">
        <v>301.0</v>
      </c>
      <c r="B18" s="14" t="s">
        <v>26</v>
      </c>
      <c r="C18" s="14" t="s">
        <v>17</v>
      </c>
      <c r="D18" s="14" t="s">
        <v>16</v>
      </c>
      <c r="E18" s="15">
        <v>32.0</v>
      </c>
      <c r="F18" s="16">
        <v>2031000.0</v>
      </c>
      <c r="G18" s="16">
        <v>1040.0</v>
      </c>
      <c r="H18" s="17">
        <v>33300.0</v>
      </c>
    </row>
    <row r="19" ht="14.25" customHeight="1">
      <c r="A19" s="14">
        <v>302.0</v>
      </c>
      <c r="B19" s="14" t="s">
        <v>26</v>
      </c>
      <c r="C19" s="14" t="s">
        <v>15</v>
      </c>
      <c r="D19" s="14" t="s">
        <v>16</v>
      </c>
      <c r="E19" s="15">
        <v>53.0</v>
      </c>
      <c r="F19" s="16">
        <f t="shared" ref="F19:F22" si="5">H19*61</f>
        <v>3297660</v>
      </c>
      <c r="G19" s="16">
        <v>1020.0</v>
      </c>
      <c r="H19" s="17">
        <f t="shared" ref="H19:H24" si="6">E19*G19</f>
        <v>54060</v>
      </c>
    </row>
    <row r="20" ht="14.25" customHeight="1">
      <c r="A20" s="14">
        <v>303.0</v>
      </c>
      <c r="B20" s="14" t="s">
        <v>26</v>
      </c>
      <c r="C20" s="14" t="s">
        <v>17</v>
      </c>
      <c r="D20" s="14" t="s">
        <v>16</v>
      </c>
      <c r="E20" s="15">
        <v>58.0</v>
      </c>
      <c r="F20" s="16">
        <f t="shared" si="5"/>
        <v>3608760</v>
      </c>
      <c r="G20" s="16">
        <v>1020.0</v>
      </c>
      <c r="H20" s="17">
        <f t="shared" si="6"/>
        <v>59160</v>
      </c>
    </row>
    <row r="21" ht="14.25" customHeight="1">
      <c r="A21" s="14">
        <v>304.0</v>
      </c>
      <c r="B21" s="14" t="s">
        <v>26</v>
      </c>
      <c r="C21" s="14" t="s">
        <v>18</v>
      </c>
      <c r="D21" s="14" t="s">
        <v>27</v>
      </c>
      <c r="E21" s="15">
        <v>108.0</v>
      </c>
      <c r="F21" s="16">
        <f t="shared" si="5"/>
        <v>6719760</v>
      </c>
      <c r="G21" s="16">
        <v>1020.0</v>
      </c>
      <c r="H21" s="17">
        <f t="shared" si="6"/>
        <v>110160</v>
      </c>
    </row>
    <row r="22" ht="14.25" customHeight="1">
      <c r="A22" s="14">
        <v>305.0</v>
      </c>
      <c r="B22" s="14" t="s">
        <v>26</v>
      </c>
      <c r="C22" s="14" t="s">
        <v>18</v>
      </c>
      <c r="D22" s="14" t="s">
        <v>24</v>
      </c>
      <c r="E22" s="15">
        <v>88.0</v>
      </c>
      <c r="F22" s="16">
        <f t="shared" si="5"/>
        <v>5475360</v>
      </c>
      <c r="G22" s="16">
        <v>1020.0</v>
      </c>
      <c r="H22" s="17">
        <f t="shared" si="6"/>
        <v>89760</v>
      </c>
    </row>
    <row r="23" ht="14.25" customHeight="1">
      <c r="A23" s="14">
        <v>306.0</v>
      </c>
      <c r="B23" s="14" t="s">
        <v>26</v>
      </c>
      <c r="C23" s="14" t="s">
        <v>18</v>
      </c>
      <c r="D23" s="14" t="s">
        <v>16</v>
      </c>
      <c r="E23" s="15">
        <v>98.0</v>
      </c>
      <c r="F23" s="16">
        <f>H23*59</f>
        <v>5145980</v>
      </c>
      <c r="G23" s="16">
        <v>890.0</v>
      </c>
      <c r="H23" s="17">
        <f t="shared" si="6"/>
        <v>87220</v>
      </c>
    </row>
    <row r="24" ht="14.25" customHeight="1">
      <c r="A24" s="14">
        <v>307.0</v>
      </c>
      <c r="B24" s="14" t="s">
        <v>26</v>
      </c>
      <c r="C24" s="14" t="s">
        <v>15</v>
      </c>
      <c r="D24" s="14" t="s">
        <v>16</v>
      </c>
      <c r="E24" s="15">
        <v>53.0</v>
      </c>
      <c r="F24" s="16">
        <f>H24*61</f>
        <v>3297660</v>
      </c>
      <c r="G24" s="16">
        <v>1020.0</v>
      </c>
      <c r="H24" s="17">
        <f t="shared" si="6"/>
        <v>54060</v>
      </c>
    </row>
    <row r="25" ht="14.25" customHeight="1">
      <c r="A25" s="8" t="s">
        <v>28</v>
      </c>
      <c r="B25" s="2"/>
      <c r="C25" s="2"/>
      <c r="D25" s="2"/>
      <c r="E25" s="2"/>
      <c r="F25" s="2"/>
      <c r="G25" s="2"/>
      <c r="H25" s="3"/>
    </row>
    <row r="26" ht="14.25" customHeight="1">
      <c r="A26" s="14">
        <v>402.0</v>
      </c>
      <c r="B26" s="14" t="s">
        <v>29</v>
      </c>
      <c r="C26" s="14" t="s">
        <v>15</v>
      </c>
      <c r="D26" s="14" t="s">
        <v>16</v>
      </c>
      <c r="E26" s="15">
        <v>53.0</v>
      </c>
      <c r="F26" s="16">
        <f t="shared" ref="F26:F29" si="7">H26*61</f>
        <v>3362320</v>
      </c>
      <c r="G26" s="16">
        <v>1040.0</v>
      </c>
      <c r="H26" s="17">
        <f t="shared" ref="H26:H32" si="8">E26*G26</f>
        <v>55120</v>
      </c>
    </row>
    <row r="27" ht="14.25" customHeight="1">
      <c r="A27" s="14">
        <v>403.0</v>
      </c>
      <c r="B27" s="14" t="s">
        <v>29</v>
      </c>
      <c r="C27" s="14" t="s">
        <v>17</v>
      </c>
      <c r="D27" s="14" t="s">
        <v>16</v>
      </c>
      <c r="E27" s="15">
        <v>58.0</v>
      </c>
      <c r="F27" s="16">
        <f t="shared" si="7"/>
        <v>3679520</v>
      </c>
      <c r="G27" s="16">
        <v>1040.0</v>
      </c>
      <c r="H27" s="17">
        <f t="shared" si="8"/>
        <v>60320</v>
      </c>
    </row>
    <row r="28" ht="14.25" customHeight="1">
      <c r="A28" s="14">
        <v>404.0</v>
      </c>
      <c r="B28" s="14" t="s">
        <v>29</v>
      </c>
      <c r="C28" s="14" t="s">
        <v>18</v>
      </c>
      <c r="D28" s="14" t="s">
        <v>30</v>
      </c>
      <c r="E28" s="15">
        <v>108.0</v>
      </c>
      <c r="F28" s="16">
        <f t="shared" si="7"/>
        <v>6851520</v>
      </c>
      <c r="G28" s="16">
        <v>1040.0</v>
      </c>
      <c r="H28" s="17">
        <f t="shared" si="8"/>
        <v>112320</v>
      </c>
    </row>
    <row r="29" ht="14.25" customHeight="1">
      <c r="A29" s="14">
        <v>405.0</v>
      </c>
      <c r="B29" s="14" t="s">
        <v>29</v>
      </c>
      <c r="C29" s="14" t="s">
        <v>18</v>
      </c>
      <c r="D29" s="14" t="s">
        <v>24</v>
      </c>
      <c r="E29" s="15">
        <v>88.0</v>
      </c>
      <c r="F29" s="16">
        <f t="shared" si="7"/>
        <v>5582720</v>
      </c>
      <c r="G29" s="16">
        <v>1040.0</v>
      </c>
      <c r="H29" s="17">
        <f t="shared" si="8"/>
        <v>91520</v>
      </c>
    </row>
    <row r="30" ht="14.25" customHeight="1">
      <c r="A30" s="14">
        <v>406.0</v>
      </c>
      <c r="B30" s="14" t="s">
        <v>29</v>
      </c>
      <c r="C30" s="14" t="s">
        <v>18</v>
      </c>
      <c r="D30" s="14" t="s">
        <v>16</v>
      </c>
      <c r="E30" s="15">
        <v>98.0</v>
      </c>
      <c r="F30" s="16">
        <f>H30*59</f>
        <v>5261620</v>
      </c>
      <c r="G30" s="16">
        <v>910.0</v>
      </c>
      <c r="H30" s="17">
        <f t="shared" si="8"/>
        <v>89180</v>
      </c>
    </row>
    <row r="31" ht="14.25" customHeight="1">
      <c r="A31" s="14">
        <v>407.0</v>
      </c>
      <c r="B31" s="14" t="s">
        <v>29</v>
      </c>
      <c r="C31" s="14" t="s">
        <v>15</v>
      </c>
      <c r="D31" s="14" t="s">
        <v>16</v>
      </c>
      <c r="E31" s="15">
        <v>53.0</v>
      </c>
      <c r="F31" s="16">
        <f t="shared" ref="F31:F32" si="9">H31*61</f>
        <v>3362320</v>
      </c>
      <c r="G31" s="16">
        <v>1040.0</v>
      </c>
      <c r="H31" s="17">
        <f t="shared" si="8"/>
        <v>55120</v>
      </c>
    </row>
    <row r="32" ht="14.25" customHeight="1">
      <c r="A32" s="14">
        <v>408.0</v>
      </c>
      <c r="B32" s="14" t="s">
        <v>29</v>
      </c>
      <c r="C32" s="14" t="s">
        <v>15</v>
      </c>
      <c r="D32" s="14" t="s">
        <v>16</v>
      </c>
      <c r="E32" s="15">
        <v>50.0</v>
      </c>
      <c r="F32" s="16">
        <f t="shared" si="9"/>
        <v>3172000</v>
      </c>
      <c r="G32" s="16">
        <v>1040.0</v>
      </c>
      <c r="H32" s="17">
        <f t="shared" si="8"/>
        <v>52000</v>
      </c>
    </row>
    <row r="33" ht="48.0" customHeight="1">
      <c r="A33" s="4" t="s">
        <v>1</v>
      </c>
      <c r="B33" s="5" t="s">
        <v>2</v>
      </c>
      <c r="C33" s="6" t="s">
        <v>3</v>
      </c>
      <c r="D33" s="7" t="s">
        <v>31</v>
      </c>
      <c r="E33" s="2"/>
      <c r="F33" s="2"/>
      <c r="G33" s="2"/>
      <c r="H33" s="3"/>
    </row>
    <row r="34" ht="14.25" customHeight="1">
      <c r="A34" s="5" t="s">
        <v>5</v>
      </c>
      <c r="B34" s="5" t="s">
        <v>6</v>
      </c>
      <c r="C34" s="5" t="s">
        <v>7</v>
      </c>
      <c r="D34" s="5" t="s">
        <v>8</v>
      </c>
      <c r="E34" s="5" t="s">
        <v>9</v>
      </c>
      <c r="F34" s="11" t="s">
        <v>32</v>
      </c>
      <c r="G34" s="5" t="s">
        <v>11</v>
      </c>
      <c r="H34" s="5" t="s">
        <v>12</v>
      </c>
    </row>
    <row r="35" ht="14.25" customHeight="1">
      <c r="A35" s="18" t="s">
        <v>13</v>
      </c>
      <c r="B35" s="2"/>
      <c r="C35" s="2"/>
      <c r="D35" s="2"/>
      <c r="E35" s="2"/>
      <c r="F35" s="2"/>
      <c r="G35" s="2"/>
      <c r="H35" s="3"/>
    </row>
    <row r="36" ht="14.25" customHeight="1">
      <c r="A36" s="14">
        <v>101.0</v>
      </c>
      <c r="B36" s="14" t="s">
        <v>14</v>
      </c>
      <c r="C36" s="14" t="s">
        <v>15</v>
      </c>
      <c r="D36" s="14" t="s">
        <v>16</v>
      </c>
      <c r="E36" s="19">
        <v>75.0</v>
      </c>
      <c r="F36" s="20">
        <f t="shared" ref="F36:F37" si="10">H36*59</f>
        <v>3717000</v>
      </c>
      <c r="G36" s="17">
        <v>840.0</v>
      </c>
      <c r="H36" s="17">
        <f t="shared" ref="H36:H47" si="11">E36*G36</f>
        <v>63000</v>
      </c>
    </row>
    <row r="37" ht="14.25" customHeight="1">
      <c r="A37" s="14">
        <v>103.0</v>
      </c>
      <c r="B37" s="14" t="s">
        <v>14</v>
      </c>
      <c r="C37" s="14" t="s">
        <v>18</v>
      </c>
      <c r="D37" s="14" t="s">
        <v>16</v>
      </c>
      <c r="E37" s="19">
        <v>99.0</v>
      </c>
      <c r="F37" s="20">
        <f t="shared" si="10"/>
        <v>4906440</v>
      </c>
      <c r="G37" s="17">
        <v>840.0</v>
      </c>
      <c r="H37" s="17">
        <f t="shared" si="11"/>
        <v>83160</v>
      </c>
    </row>
    <row r="38" ht="14.25" customHeight="1">
      <c r="A38" s="14">
        <v>104.0</v>
      </c>
      <c r="B38" s="14" t="s">
        <v>14</v>
      </c>
      <c r="C38" s="14" t="s">
        <v>33</v>
      </c>
      <c r="D38" s="14" t="s">
        <v>34</v>
      </c>
      <c r="E38" s="19">
        <v>140.0</v>
      </c>
      <c r="F38" s="20">
        <f>H38*58</f>
        <v>6983200</v>
      </c>
      <c r="G38" s="17">
        <v>860.0</v>
      </c>
      <c r="H38" s="17">
        <f t="shared" si="11"/>
        <v>120400</v>
      </c>
    </row>
    <row r="39" ht="14.25" customHeight="1">
      <c r="A39" s="14">
        <v>105.0</v>
      </c>
      <c r="B39" s="14" t="s">
        <v>14</v>
      </c>
      <c r="C39" s="14" t="s">
        <v>15</v>
      </c>
      <c r="D39" s="14" t="s">
        <v>34</v>
      </c>
      <c r="E39" s="19">
        <v>50.0</v>
      </c>
      <c r="F39" s="20">
        <f>H39*62</f>
        <v>3038000</v>
      </c>
      <c r="G39" s="17">
        <v>980.0</v>
      </c>
      <c r="H39" s="17">
        <f t="shared" si="11"/>
        <v>49000</v>
      </c>
    </row>
    <row r="40" ht="14.25" customHeight="1">
      <c r="A40" s="14">
        <v>106.0</v>
      </c>
      <c r="B40" s="14" t="s">
        <v>14</v>
      </c>
      <c r="C40" s="14" t="s">
        <v>33</v>
      </c>
      <c r="D40" s="14" t="s">
        <v>34</v>
      </c>
      <c r="E40" s="19">
        <v>133.0</v>
      </c>
      <c r="F40" s="20">
        <f t="shared" ref="F40:F45" si="12">H40*58</f>
        <v>6634040</v>
      </c>
      <c r="G40" s="17">
        <v>860.0</v>
      </c>
      <c r="H40" s="17">
        <f t="shared" si="11"/>
        <v>114380</v>
      </c>
    </row>
    <row r="41" ht="14.25" customHeight="1">
      <c r="A41" s="14">
        <v>107.0</v>
      </c>
      <c r="B41" s="14" t="s">
        <v>14</v>
      </c>
      <c r="C41" s="14" t="s">
        <v>33</v>
      </c>
      <c r="D41" s="14" t="s">
        <v>34</v>
      </c>
      <c r="E41" s="19">
        <v>133.0</v>
      </c>
      <c r="F41" s="20">
        <f t="shared" si="12"/>
        <v>6634040</v>
      </c>
      <c r="G41" s="17">
        <v>860.0</v>
      </c>
      <c r="H41" s="17">
        <f t="shared" si="11"/>
        <v>114380</v>
      </c>
    </row>
    <row r="42" ht="14.25" customHeight="1">
      <c r="A42" s="14">
        <v>108.0</v>
      </c>
      <c r="B42" s="14" t="s">
        <v>14</v>
      </c>
      <c r="C42" s="14" t="s">
        <v>33</v>
      </c>
      <c r="D42" s="14" t="s">
        <v>34</v>
      </c>
      <c r="E42" s="19">
        <v>133.0</v>
      </c>
      <c r="F42" s="20">
        <f t="shared" si="12"/>
        <v>6634040</v>
      </c>
      <c r="G42" s="17">
        <v>860.0</v>
      </c>
      <c r="H42" s="17">
        <f t="shared" si="11"/>
        <v>114380</v>
      </c>
    </row>
    <row r="43" ht="14.25" customHeight="1">
      <c r="A43" s="14">
        <v>109.0</v>
      </c>
      <c r="B43" s="14" t="s">
        <v>14</v>
      </c>
      <c r="C43" s="14" t="s">
        <v>33</v>
      </c>
      <c r="D43" s="14" t="s">
        <v>34</v>
      </c>
      <c r="E43" s="19">
        <v>133.0</v>
      </c>
      <c r="F43" s="20">
        <f t="shared" si="12"/>
        <v>6634040</v>
      </c>
      <c r="G43" s="17">
        <v>860.0</v>
      </c>
      <c r="H43" s="17">
        <f t="shared" si="11"/>
        <v>114380</v>
      </c>
    </row>
    <row r="44" ht="14.25" customHeight="1">
      <c r="A44" s="14">
        <v>110.0</v>
      </c>
      <c r="B44" s="14" t="s">
        <v>14</v>
      </c>
      <c r="C44" s="14" t="s">
        <v>33</v>
      </c>
      <c r="D44" s="14" t="s">
        <v>34</v>
      </c>
      <c r="E44" s="19">
        <v>131.0</v>
      </c>
      <c r="F44" s="20">
        <f t="shared" si="12"/>
        <v>6534280</v>
      </c>
      <c r="G44" s="17">
        <v>860.0</v>
      </c>
      <c r="H44" s="17">
        <f t="shared" si="11"/>
        <v>112660</v>
      </c>
    </row>
    <row r="45" ht="14.25" customHeight="1">
      <c r="A45" s="6">
        <v>111.0</v>
      </c>
      <c r="B45" s="6" t="s">
        <v>14</v>
      </c>
      <c r="C45" s="6" t="s">
        <v>18</v>
      </c>
      <c r="D45" s="6" t="s">
        <v>16</v>
      </c>
      <c r="E45" s="21">
        <v>105.0</v>
      </c>
      <c r="F45" s="22">
        <f t="shared" si="12"/>
        <v>4750200</v>
      </c>
      <c r="G45" s="23">
        <v>780.0</v>
      </c>
      <c r="H45" s="23">
        <f t="shared" si="11"/>
        <v>81900</v>
      </c>
    </row>
    <row r="46" ht="14.25" customHeight="1">
      <c r="A46" s="14">
        <v>112.0</v>
      </c>
      <c r="B46" s="14" t="s">
        <v>14</v>
      </c>
      <c r="C46" s="14" t="s">
        <v>17</v>
      </c>
      <c r="D46" s="14" t="s">
        <v>16</v>
      </c>
      <c r="E46" s="19">
        <v>47.0</v>
      </c>
      <c r="F46" s="20">
        <f>H46*61</f>
        <v>2867000</v>
      </c>
      <c r="G46" s="17">
        <v>1000.0</v>
      </c>
      <c r="H46" s="17">
        <f t="shared" si="11"/>
        <v>47000</v>
      </c>
    </row>
    <row r="47" ht="14.25" customHeight="1">
      <c r="A47" s="14">
        <v>113.0</v>
      </c>
      <c r="B47" s="14" t="s">
        <v>14</v>
      </c>
      <c r="C47" s="14" t="s">
        <v>15</v>
      </c>
      <c r="D47" s="14" t="s">
        <v>16</v>
      </c>
      <c r="E47" s="19">
        <v>75.0</v>
      </c>
      <c r="F47" s="24" t="s">
        <v>35</v>
      </c>
      <c r="G47" s="25">
        <v>880.0</v>
      </c>
      <c r="H47" s="17">
        <f t="shared" si="11"/>
        <v>66000</v>
      </c>
    </row>
    <row r="48" ht="14.25" customHeight="1">
      <c r="A48" s="18" t="s">
        <v>21</v>
      </c>
      <c r="B48" s="2"/>
      <c r="C48" s="2"/>
      <c r="D48" s="2"/>
      <c r="E48" s="2"/>
      <c r="F48" s="2"/>
      <c r="G48" s="2"/>
      <c r="H48" s="3"/>
    </row>
    <row r="49" ht="14.25" customHeight="1">
      <c r="A49" s="14">
        <v>203.0</v>
      </c>
      <c r="B49" s="14" t="s">
        <v>22</v>
      </c>
      <c r="C49" s="14" t="s">
        <v>18</v>
      </c>
      <c r="D49" s="14" t="s">
        <v>16</v>
      </c>
      <c r="E49" s="19">
        <v>99.0</v>
      </c>
      <c r="F49" s="20">
        <f>H49*62</f>
        <v>5278680</v>
      </c>
      <c r="G49" s="17">
        <v>860.0</v>
      </c>
      <c r="H49" s="17">
        <f t="shared" ref="H49:H57" si="13">E49*G49</f>
        <v>85140</v>
      </c>
    </row>
    <row r="50" ht="14.25" customHeight="1">
      <c r="A50" s="6">
        <v>204.0</v>
      </c>
      <c r="B50" s="6" t="s">
        <v>22</v>
      </c>
      <c r="C50" s="6" t="s">
        <v>33</v>
      </c>
      <c r="D50" s="6" t="s">
        <v>34</v>
      </c>
      <c r="E50" s="21">
        <v>140.0</v>
      </c>
      <c r="F50" s="22">
        <f>H50*59</f>
        <v>7186200</v>
      </c>
      <c r="G50" s="23">
        <v>870.0</v>
      </c>
      <c r="H50" s="23">
        <f t="shared" si="13"/>
        <v>121800</v>
      </c>
    </row>
    <row r="51" ht="14.25" customHeight="1">
      <c r="A51" s="26">
        <v>205.0</v>
      </c>
      <c r="B51" s="26" t="s">
        <v>22</v>
      </c>
      <c r="C51" s="26" t="s">
        <v>15</v>
      </c>
      <c r="D51" s="26" t="s">
        <v>34</v>
      </c>
      <c r="E51" s="27">
        <v>50.0</v>
      </c>
      <c r="F51" s="28">
        <f>H51*61</f>
        <v>3050000</v>
      </c>
      <c r="G51" s="29">
        <v>1000.0</v>
      </c>
      <c r="H51" s="29">
        <f t="shared" si="13"/>
        <v>50000</v>
      </c>
    </row>
    <row r="52" ht="14.25" customHeight="1">
      <c r="A52" s="14">
        <v>206.0</v>
      </c>
      <c r="B52" s="14" t="s">
        <v>22</v>
      </c>
      <c r="C52" s="14" t="s">
        <v>33</v>
      </c>
      <c r="D52" s="14" t="s">
        <v>34</v>
      </c>
      <c r="E52" s="19">
        <v>133.0</v>
      </c>
      <c r="F52" s="20">
        <f t="shared" ref="F52:F57" si="14">H52*58</f>
        <v>6711180</v>
      </c>
      <c r="G52" s="17">
        <v>870.0</v>
      </c>
      <c r="H52" s="17">
        <f t="shared" si="13"/>
        <v>115710</v>
      </c>
    </row>
    <row r="53" ht="14.25" customHeight="1">
      <c r="A53" s="14">
        <v>207.0</v>
      </c>
      <c r="B53" s="14" t="s">
        <v>22</v>
      </c>
      <c r="C53" s="14" t="s">
        <v>33</v>
      </c>
      <c r="D53" s="14" t="s">
        <v>34</v>
      </c>
      <c r="E53" s="19">
        <v>133.0</v>
      </c>
      <c r="F53" s="20">
        <f t="shared" si="14"/>
        <v>6711180</v>
      </c>
      <c r="G53" s="17">
        <v>870.0</v>
      </c>
      <c r="H53" s="17">
        <f t="shared" si="13"/>
        <v>115710</v>
      </c>
    </row>
    <row r="54" ht="14.25" customHeight="1">
      <c r="A54" s="14">
        <v>208.0</v>
      </c>
      <c r="B54" s="14" t="s">
        <v>22</v>
      </c>
      <c r="C54" s="14" t="s">
        <v>33</v>
      </c>
      <c r="D54" s="14" t="s">
        <v>34</v>
      </c>
      <c r="E54" s="19">
        <v>133.0</v>
      </c>
      <c r="F54" s="20">
        <f t="shared" si="14"/>
        <v>6711180</v>
      </c>
      <c r="G54" s="17">
        <v>870.0</v>
      </c>
      <c r="H54" s="17">
        <f t="shared" si="13"/>
        <v>115710</v>
      </c>
    </row>
    <row r="55" ht="14.25" customHeight="1">
      <c r="A55" s="14">
        <v>210.0</v>
      </c>
      <c r="B55" s="14" t="s">
        <v>22</v>
      </c>
      <c r="C55" s="14" t="s">
        <v>33</v>
      </c>
      <c r="D55" s="14" t="s">
        <v>34</v>
      </c>
      <c r="E55" s="19">
        <v>131.0</v>
      </c>
      <c r="F55" s="20">
        <f t="shared" si="14"/>
        <v>6610260</v>
      </c>
      <c r="G55" s="17">
        <v>870.0</v>
      </c>
      <c r="H55" s="17">
        <f t="shared" si="13"/>
        <v>113970</v>
      </c>
    </row>
    <row r="56" ht="14.25" customHeight="1">
      <c r="A56" s="14">
        <v>211.0</v>
      </c>
      <c r="B56" s="14" t="s">
        <v>22</v>
      </c>
      <c r="C56" s="14" t="s">
        <v>18</v>
      </c>
      <c r="D56" s="14" t="s">
        <v>16</v>
      </c>
      <c r="E56" s="19">
        <v>105.0</v>
      </c>
      <c r="F56" s="20">
        <f t="shared" si="14"/>
        <v>4872000</v>
      </c>
      <c r="G56" s="17">
        <v>800.0</v>
      </c>
      <c r="H56" s="17">
        <f t="shared" si="13"/>
        <v>84000</v>
      </c>
    </row>
    <row r="57" ht="14.25" customHeight="1">
      <c r="A57" s="5">
        <v>213.0</v>
      </c>
      <c r="B57" s="5" t="s">
        <v>22</v>
      </c>
      <c r="C57" s="5" t="s">
        <v>15</v>
      </c>
      <c r="D57" s="5" t="s">
        <v>16</v>
      </c>
      <c r="E57" s="30">
        <v>75.0</v>
      </c>
      <c r="F57" s="31">
        <f t="shared" si="14"/>
        <v>3884550</v>
      </c>
      <c r="G57" s="32">
        <v>893.0</v>
      </c>
      <c r="H57" s="13">
        <f t="shared" si="13"/>
        <v>66975</v>
      </c>
    </row>
    <row r="58" ht="14.25" customHeight="1">
      <c r="A58" s="18" t="s">
        <v>25</v>
      </c>
      <c r="B58" s="2"/>
      <c r="C58" s="2"/>
      <c r="D58" s="2"/>
      <c r="E58" s="2"/>
      <c r="F58" s="2"/>
      <c r="G58" s="2"/>
      <c r="H58" s="3"/>
    </row>
    <row r="59" ht="14.25" customHeight="1">
      <c r="A59" s="6">
        <v>305.0</v>
      </c>
      <c r="B59" s="6" t="s">
        <v>26</v>
      </c>
      <c r="C59" s="6" t="s">
        <v>15</v>
      </c>
      <c r="D59" s="6" t="s">
        <v>34</v>
      </c>
      <c r="E59" s="21">
        <v>50.0</v>
      </c>
      <c r="F59" s="22">
        <f>H59*62</f>
        <v>3162000</v>
      </c>
      <c r="G59" s="23">
        <v>1020.0</v>
      </c>
      <c r="H59" s="23">
        <f t="shared" ref="H59:H62" si="15">E59*G59</f>
        <v>51000</v>
      </c>
    </row>
    <row r="60" ht="14.25" customHeight="1">
      <c r="A60" s="14">
        <v>308.0</v>
      </c>
      <c r="B60" s="14" t="s">
        <v>26</v>
      </c>
      <c r="C60" s="14" t="s">
        <v>33</v>
      </c>
      <c r="D60" s="14" t="s">
        <v>34</v>
      </c>
      <c r="E60" s="19">
        <v>133.0</v>
      </c>
      <c r="F60" s="20">
        <f t="shared" ref="F60:F62" si="16">H60*58</f>
        <v>6865460</v>
      </c>
      <c r="G60" s="17">
        <v>890.0</v>
      </c>
      <c r="H60" s="17">
        <f t="shared" si="15"/>
        <v>118370</v>
      </c>
    </row>
    <row r="61" ht="14.25" customHeight="1">
      <c r="A61" s="14">
        <v>310.0</v>
      </c>
      <c r="B61" s="14" t="s">
        <v>26</v>
      </c>
      <c r="C61" s="14" t="s">
        <v>33</v>
      </c>
      <c r="D61" s="14" t="s">
        <v>34</v>
      </c>
      <c r="E61" s="19">
        <v>131.0</v>
      </c>
      <c r="F61" s="20">
        <f t="shared" si="16"/>
        <v>6762220</v>
      </c>
      <c r="G61" s="17">
        <v>890.0</v>
      </c>
      <c r="H61" s="17">
        <f t="shared" si="15"/>
        <v>116590</v>
      </c>
    </row>
    <row r="62" ht="14.25" customHeight="1">
      <c r="A62" s="14">
        <v>311.0</v>
      </c>
      <c r="B62" s="14" t="s">
        <v>26</v>
      </c>
      <c r="C62" s="14" t="s">
        <v>18</v>
      </c>
      <c r="D62" s="14" t="s">
        <v>16</v>
      </c>
      <c r="E62" s="19">
        <v>105.0</v>
      </c>
      <c r="F62" s="20">
        <f t="shared" si="16"/>
        <v>4993800</v>
      </c>
      <c r="G62" s="17">
        <v>820.0</v>
      </c>
      <c r="H62" s="17">
        <f t="shared" si="15"/>
        <v>86100</v>
      </c>
    </row>
    <row r="63" ht="14.25" customHeight="1">
      <c r="A63" s="18" t="s">
        <v>28</v>
      </c>
      <c r="B63" s="2"/>
      <c r="C63" s="2"/>
      <c r="D63" s="2"/>
      <c r="E63" s="2"/>
      <c r="F63" s="2"/>
      <c r="G63" s="2"/>
      <c r="H63" s="3"/>
    </row>
    <row r="64" ht="14.25" customHeight="1">
      <c r="A64" s="14">
        <v>402.0</v>
      </c>
      <c r="B64" s="14" t="s">
        <v>29</v>
      </c>
      <c r="C64" s="14" t="s">
        <v>17</v>
      </c>
      <c r="D64" s="14" t="s">
        <v>16</v>
      </c>
      <c r="E64" s="19">
        <v>37.0</v>
      </c>
      <c r="F64" s="20">
        <f>H64*62</f>
        <v>2420170</v>
      </c>
      <c r="G64" s="17">
        <v>1055.0</v>
      </c>
      <c r="H64" s="17">
        <f t="shared" ref="H64:H74" si="17">E64*G64</f>
        <v>39035</v>
      </c>
    </row>
    <row r="65" ht="14.25" customHeight="1">
      <c r="A65" s="14">
        <v>403.0</v>
      </c>
      <c r="B65" s="14" t="s">
        <v>29</v>
      </c>
      <c r="C65" s="14" t="s">
        <v>18</v>
      </c>
      <c r="D65" s="14" t="s">
        <v>16</v>
      </c>
      <c r="E65" s="19">
        <v>99.0</v>
      </c>
      <c r="F65" s="20">
        <f t="shared" ref="F65:F66" si="18">H65*58</f>
        <v>5110380</v>
      </c>
      <c r="G65" s="17">
        <v>890.0</v>
      </c>
      <c r="H65" s="17">
        <f t="shared" si="17"/>
        <v>88110</v>
      </c>
    </row>
    <row r="66" ht="14.25" customHeight="1">
      <c r="A66" s="14">
        <v>404.0</v>
      </c>
      <c r="B66" s="14" t="s">
        <v>29</v>
      </c>
      <c r="C66" s="14" t="s">
        <v>33</v>
      </c>
      <c r="D66" s="14" t="s">
        <v>34</v>
      </c>
      <c r="E66" s="19">
        <v>140.0</v>
      </c>
      <c r="F66" s="20">
        <f t="shared" si="18"/>
        <v>7389200</v>
      </c>
      <c r="G66" s="17">
        <v>910.0</v>
      </c>
      <c r="H66" s="17">
        <f t="shared" si="17"/>
        <v>127400</v>
      </c>
    </row>
    <row r="67" ht="14.25" customHeight="1">
      <c r="A67" s="6">
        <v>405.0</v>
      </c>
      <c r="B67" s="6" t="s">
        <v>29</v>
      </c>
      <c r="C67" s="6" t="s">
        <v>15</v>
      </c>
      <c r="D67" s="6" t="s">
        <v>34</v>
      </c>
      <c r="E67" s="21">
        <v>50.0</v>
      </c>
      <c r="F67" s="22">
        <f>H67*62</f>
        <v>3224000</v>
      </c>
      <c r="G67" s="23">
        <v>1040.0</v>
      </c>
      <c r="H67" s="23">
        <f t="shared" si="17"/>
        <v>52000</v>
      </c>
    </row>
    <row r="68" ht="14.25" customHeight="1">
      <c r="A68" s="14">
        <v>406.0</v>
      </c>
      <c r="B68" s="14" t="s">
        <v>29</v>
      </c>
      <c r="C68" s="14" t="s">
        <v>33</v>
      </c>
      <c r="D68" s="14" t="s">
        <v>34</v>
      </c>
      <c r="E68" s="19">
        <v>133.0</v>
      </c>
      <c r="F68" s="20">
        <f t="shared" ref="F68:F73" si="19">H68*58</f>
        <v>7019740</v>
      </c>
      <c r="G68" s="17">
        <v>910.0</v>
      </c>
      <c r="H68" s="17">
        <f t="shared" si="17"/>
        <v>121030</v>
      </c>
    </row>
    <row r="69" ht="14.25" customHeight="1">
      <c r="A69" s="14">
        <v>407.0</v>
      </c>
      <c r="B69" s="14" t="s">
        <v>29</v>
      </c>
      <c r="C69" s="14" t="s">
        <v>33</v>
      </c>
      <c r="D69" s="14" t="s">
        <v>34</v>
      </c>
      <c r="E69" s="19">
        <v>133.0</v>
      </c>
      <c r="F69" s="20">
        <f t="shared" si="19"/>
        <v>7019740</v>
      </c>
      <c r="G69" s="17">
        <v>910.0</v>
      </c>
      <c r="H69" s="17">
        <f t="shared" si="17"/>
        <v>121030</v>
      </c>
    </row>
    <row r="70" ht="14.25" customHeight="1">
      <c r="A70" s="14">
        <v>408.0</v>
      </c>
      <c r="B70" s="14" t="s">
        <v>29</v>
      </c>
      <c r="C70" s="14" t="s">
        <v>33</v>
      </c>
      <c r="D70" s="14" t="s">
        <v>34</v>
      </c>
      <c r="E70" s="19">
        <v>133.0</v>
      </c>
      <c r="F70" s="20">
        <f t="shared" si="19"/>
        <v>7019740</v>
      </c>
      <c r="G70" s="17">
        <v>910.0</v>
      </c>
      <c r="H70" s="17">
        <f t="shared" si="17"/>
        <v>121030</v>
      </c>
    </row>
    <row r="71" ht="14.25" customHeight="1">
      <c r="A71" s="14">
        <v>409.0</v>
      </c>
      <c r="B71" s="14" t="s">
        <v>29</v>
      </c>
      <c r="C71" s="14" t="s">
        <v>33</v>
      </c>
      <c r="D71" s="14" t="s">
        <v>34</v>
      </c>
      <c r="E71" s="19">
        <v>133.0</v>
      </c>
      <c r="F71" s="20">
        <f t="shared" si="19"/>
        <v>7019740</v>
      </c>
      <c r="G71" s="17">
        <v>910.0</v>
      </c>
      <c r="H71" s="17">
        <f t="shared" si="17"/>
        <v>121030</v>
      </c>
    </row>
    <row r="72" ht="14.25" customHeight="1">
      <c r="A72" s="14">
        <v>410.0</v>
      </c>
      <c r="B72" s="14" t="s">
        <v>29</v>
      </c>
      <c r="C72" s="14" t="s">
        <v>33</v>
      </c>
      <c r="D72" s="14" t="s">
        <v>34</v>
      </c>
      <c r="E72" s="19">
        <v>131.0</v>
      </c>
      <c r="F72" s="20">
        <f t="shared" si="19"/>
        <v>6914180</v>
      </c>
      <c r="G72" s="17">
        <v>910.0</v>
      </c>
      <c r="H72" s="17">
        <f t="shared" si="17"/>
        <v>119210</v>
      </c>
    </row>
    <row r="73" ht="14.25" customHeight="1">
      <c r="A73" s="14">
        <v>411.0</v>
      </c>
      <c r="B73" s="14" t="s">
        <v>29</v>
      </c>
      <c r="C73" s="14" t="s">
        <v>18</v>
      </c>
      <c r="D73" s="14" t="s">
        <v>16</v>
      </c>
      <c r="E73" s="19">
        <v>105.0</v>
      </c>
      <c r="F73" s="20">
        <f t="shared" si="19"/>
        <v>5115600</v>
      </c>
      <c r="G73" s="17">
        <v>840.0</v>
      </c>
      <c r="H73" s="17">
        <f t="shared" si="17"/>
        <v>88200</v>
      </c>
    </row>
    <row r="74" ht="24.0" customHeight="1">
      <c r="A74" s="14">
        <v>412.0</v>
      </c>
      <c r="B74" s="14" t="s">
        <v>29</v>
      </c>
      <c r="C74" s="14" t="s">
        <v>17</v>
      </c>
      <c r="D74" s="14" t="s">
        <v>16</v>
      </c>
      <c r="E74" s="19">
        <v>47.0</v>
      </c>
      <c r="F74" s="20">
        <f>H74*61</f>
        <v>3024685</v>
      </c>
      <c r="G74" s="17">
        <v>1055.0</v>
      </c>
      <c r="H74" s="17">
        <f t="shared" si="17"/>
        <v>49585</v>
      </c>
    </row>
    <row r="75" ht="51.0" customHeight="1">
      <c r="A75" s="4" t="s">
        <v>1</v>
      </c>
      <c r="B75" s="5" t="s">
        <v>2</v>
      </c>
      <c r="C75" s="6" t="s">
        <v>3</v>
      </c>
      <c r="D75" s="7" t="s">
        <v>36</v>
      </c>
      <c r="E75" s="2"/>
      <c r="F75" s="2"/>
      <c r="G75" s="2"/>
      <c r="H75" s="3"/>
    </row>
    <row r="76" ht="14.25" customHeight="1">
      <c r="A76" s="5" t="s">
        <v>5</v>
      </c>
      <c r="B76" s="5" t="s">
        <v>6</v>
      </c>
      <c r="C76" s="5" t="s">
        <v>7</v>
      </c>
      <c r="D76" s="5" t="s">
        <v>8</v>
      </c>
      <c r="E76" s="5" t="s">
        <v>9</v>
      </c>
      <c r="F76" s="33" t="s">
        <v>10</v>
      </c>
      <c r="G76" s="33"/>
      <c r="H76" s="33" t="s">
        <v>37</v>
      </c>
    </row>
    <row r="77" ht="14.25" customHeight="1">
      <c r="A77" s="8" t="s">
        <v>13</v>
      </c>
      <c r="B77" s="2"/>
      <c r="C77" s="2"/>
      <c r="D77" s="2"/>
      <c r="E77" s="2"/>
      <c r="F77" s="2"/>
      <c r="G77" s="2"/>
      <c r="H77" s="3"/>
    </row>
    <row r="78" ht="14.25" customHeight="1">
      <c r="A78" s="14">
        <v>101.0</v>
      </c>
      <c r="B78" s="14" t="s">
        <v>14</v>
      </c>
      <c r="C78" s="14" t="s">
        <v>15</v>
      </c>
      <c r="D78" s="14" t="s">
        <v>16</v>
      </c>
      <c r="E78" s="19">
        <v>56.0</v>
      </c>
      <c r="F78" s="16">
        <f t="shared" ref="F78:F79" si="20">H78*61</f>
        <v>3347680</v>
      </c>
      <c r="G78" s="16">
        <v>980.0</v>
      </c>
      <c r="H78" s="34">
        <f t="shared" ref="H78:H94" si="21">G78*E78</f>
        <v>54880</v>
      </c>
    </row>
    <row r="79" ht="14.25" customHeight="1">
      <c r="A79" s="14">
        <v>102.0</v>
      </c>
      <c r="B79" s="14" t="s">
        <v>14</v>
      </c>
      <c r="C79" s="14" t="s">
        <v>15</v>
      </c>
      <c r="D79" s="14" t="s">
        <v>16</v>
      </c>
      <c r="E79" s="19">
        <v>55.0</v>
      </c>
      <c r="F79" s="16">
        <f t="shared" si="20"/>
        <v>3287900</v>
      </c>
      <c r="G79" s="16">
        <v>980.0</v>
      </c>
      <c r="H79" s="34">
        <f t="shared" si="21"/>
        <v>53900</v>
      </c>
    </row>
    <row r="80" ht="14.25" customHeight="1">
      <c r="A80" s="14">
        <v>103.0</v>
      </c>
      <c r="B80" s="14" t="s">
        <v>14</v>
      </c>
      <c r="C80" s="14" t="s">
        <v>18</v>
      </c>
      <c r="D80" s="14" t="s">
        <v>16</v>
      </c>
      <c r="E80" s="35">
        <v>92.0</v>
      </c>
      <c r="F80" s="16">
        <f t="shared" ref="F80:F81" si="22">H80*59</f>
        <v>4532380</v>
      </c>
      <c r="G80" s="16">
        <v>835.0</v>
      </c>
      <c r="H80" s="34">
        <f t="shared" si="21"/>
        <v>76820</v>
      </c>
    </row>
    <row r="81" ht="14.25" customHeight="1">
      <c r="A81" s="14">
        <v>104.0</v>
      </c>
      <c r="B81" s="14" t="s">
        <v>14</v>
      </c>
      <c r="C81" s="14" t="s">
        <v>18</v>
      </c>
      <c r="D81" s="14" t="s">
        <v>16</v>
      </c>
      <c r="E81" s="15">
        <v>92.0</v>
      </c>
      <c r="F81" s="16">
        <f t="shared" si="22"/>
        <v>4532380</v>
      </c>
      <c r="G81" s="16">
        <v>835.0</v>
      </c>
      <c r="H81" s="34">
        <f t="shared" si="21"/>
        <v>76820</v>
      </c>
    </row>
    <row r="82" ht="14.25" customHeight="1">
      <c r="A82" s="5">
        <v>105.0</v>
      </c>
      <c r="B82" s="5" t="s">
        <v>14</v>
      </c>
      <c r="C82" s="5" t="s">
        <v>38</v>
      </c>
      <c r="D82" s="5" t="s">
        <v>16</v>
      </c>
      <c r="E82" s="30">
        <v>52.0</v>
      </c>
      <c r="F82" s="11">
        <f t="shared" ref="F82:F94" si="23">H82*61</f>
        <v>3108560</v>
      </c>
      <c r="G82" s="11">
        <v>980.0</v>
      </c>
      <c r="H82" s="36">
        <f t="shared" si="21"/>
        <v>50960</v>
      </c>
    </row>
    <row r="83" ht="14.25" customHeight="1">
      <c r="A83" s="14">
        <v>106.0</v>
      </c>
      <c r="B83" s="14" t="s">
        <v>14</v>
      </c>
      <c r="C83" s="14" t="s">
        <v>15</v>
      </c>
      <c r="D83" s="14" t="s">
        <v>16</v>
      </c>
      <c r="E83" s="19">
        <v>52.0</v>
      </c>
      <c r="F83" s="16">
        <f t="shared" si="23"/>
        <v>3108560</v>
      </c>
      <c r="G83" s="16">
        <v>980.0</v>
      </c>
      <c r="H83" s="34">
        <f t="shared" si="21"/>
        <v>50960</v>
      </c>
    </row>
    <row r="84" ht="14.25" customHeight="1">
      <c r="A84" s="14">
        <v>107.0</v>
      </c>
      <c r="B84" s="14" t="s">
        <v>14</v>
      </c>
      <c r="C84" s="14" t="s">
        <v>15</v>
      </c>
      <c r="D84" s="14" t="s">
        <v>16</v>
      </c>
      <c r="E84" s="19">
        <v>61.0</v>
      </c>
      <c r="F84" s="16">
        <f t="shared" si="23"/>
        <v>3646580</v>
      </c>
      <c r="G84" s="16">
        <v>980.0</v>
      </c>
      <c r="H84" s="34">
        <f t="shared" si="21"/>
        <v>59780</v>
      </c>
    </row>
    <row r="85" ht="14.25" customHeight="1">
      <c r="A85" s="14">
        <v>108.0</v>
      </c>
      <c r="B85" s="14" t="s">
        <v>14</v>
      </c>
      <c r="C85" s="14" t="s">
        <v>15</v>
      </c>
      <c r="D85" s="14" t="s">
        <v>16</v>
      </c>
      <c r="E85" s="19">
        <v>64.0</v>
      </c>
      <c r="F85" s="16">
        <f t="shared" si="23"/>
        <v>3825920</v>
      </c>
      <c r="G85" s="16">
        <v>980.0</v>
      </c>
      <c r="H85" s="34">
        <f t="shared" si="21"/>
        <v>62720</v>
      </c>
    </row>
    <row r="86" ht="14.25" customHeight="1">
      <c r="A86" s="14">
        <v>109.0</v>
      </c>
      <c r="B86" s="14" t="s">
        <v>14</v>
      </c>
      <c r="C86" s="14" t="s">
        <v>15</v>
      </c>
      <c r="D86" s="14" t="s">
        <v>16</v>
      </c>
      <c r="E86" s="19">
        <v>62.0</v>
      </c>
      <c r="F86" s="16">
        <f t="shared" si="23"/>
        <v>3706360</v>
      </c>
      <c r="G86" s="16">
        <v>980.0</v>
      </c>
      <c r="H86" s="34">
        <f t="shared" si="21"/>
        <v>60760</v>
      </c>
    </row>
    <row r="87" ht="14.25" customHeight="1">
      <c r="A87" s="14">
        <v>110.0</v>
      </c>
      <c r="B87" s="14" t="s">
        <v>14</v>
      </c>
      <c r="C87" s="14" t="s">
        <v>15</v>
      </c>
      <c r="D87" s="14" t="s">
        <v>16</v>
      </c>
      <c r="E87" s="19">
        <v>61.0</v>
      </c>
      <c r="F87" s="16">
        <f t="shared" si="23"/>
        <v>3646580</v>
      </c>
      <c r="G87" s="16">
        <v>980.0</v>
      </c>
      <c r="H87" s="34">
        <f t="shared" si="21"/>
        <v>59780</v>
      </c>
    </row>
    <row r="88" ht="14.25" customHeight="1">
      <c r="A88" s="14">
        <v>111.0</v>
      </c>
      <c r="B88" s="14" t="s">
        <v>14</v>
      </c>
      <c r="C88" s="14" t="s">
        <v>39</v>
      </c>
      <c r="D88" s="14" t="s">
        <v>40</v>
      </c>
      <c r="E88" s="19">
        <v>130.0</v>
      </c>
      <c r="F88" s="16">
        <f t="shared" si="23"/>
        <v>7930000</v>
      </c>
      <c r="G88" s="16">
        <v>1000.0</v>
      </c>
      <c r="H88" s="34">
        <f t="shared" si="21"/>
        <v>130000</v>
      </c>
    </row>
    <row r="89" ht="14.25" customHeight="1">
      <c r="A89" s="14">
        <v>112.0</v>
      </c>
      <c r="B89" s="14" t="s">
        <v>14</v>
      </c>
      <c r="C89" s="14" t="s">
        <v>18</v>
      </c>
      <c r="D89" s="14" t="s">
        <v>20</v>
      </c>
      <c r="E89" s="19">
        <v>93.0</v>
      </c>
      <c r="F89" s="16">
        <f t="shared" si="23"/>
        <v>5673000</v>
      </c>
      <c r="G89" s="16">
        <v>1000.0</v>
      </c>
      <c r="H89" s="34">
        <f t="shared" si="21"/>
        <v>93000</v>
      </c>
    </row>
    <row r="90" ht="14.25" customHeight="1">
      <c r="A90" s="14">
        <v>113.0</v>
      </c>
      <c r="B90" s="14" t="s">
        <v>14</v>
      </c>
      <c r="C90" s="14" t="s">
        <v>18</v>
      </c>
      <c r="D90" s="14" t="s">
        <v>24</v>
      </c>
      <c r="E90" s="19">
        <v>80.0</v>
      </c>
      <c r="F90" s="16">
        <f t="shared" si="23"/>
        <v>4880000</v>
      </c>
      <c r="G90" s="16">
        <v>1000.0</v>
      </c>
      <c r="H90" s="34">
        <f t="shared" si="21"/>
        <v>80000</v>
      </c>
    </row>
    <row r="91" ht="14.25" customHeight="1">
      <c r="A91" s="14">
        <v>114.0</v>
      </c>
      <c r="B91" s="14" t="s">
        <v>14</v>
      </c>
      <c r="C91" s="14" t="s">
        <v>18</v>
      </c>
      <c r="D91" s="14" t="s">
        <v>41</v>
      </c>
      <c r="E91" s="19">
        <v>106.0</v>
      </c>
      <c r="F91" s="16">
        <f t="shared" si="23"/>
        <v>6466000</v>
      </c>
      <c r="G91" s="16">
        <v>1000.0</v>
      </c>
      <c r="H91" s="34">
        <f t="shared" si="21"/>
        <v>106000</v>
      </c>
    </row>
    <row r="92" ht="14.25" customHeight="1">
      <c r="A92" s="14">
        <v>115.0</v>
      </c>
      <c r="B92" s="14" t="s">
        <v>14</v>
      </c>
      <c r="C92" s="14" t="s">
        <v>17</v>
      </c>
      <c r="D92" s="14" t="s">
        <v>16</v>
      </c>
      <c r="E92" s="19">
        <v>38.0</v>
      </c>
      <c r="F92" s="16">
        <f t="shared" si="23"/>
        <v>2318000</v>
      </c>
      <c r="G92" s="16">
        <v>1000.0</v>
      </c>
      <c r="H92" s="34">
        <f t="shared" si="21"/>
        <v>38000</v>
      </c>
    </row>
    <row r="93" ht="14.25" customHeight="1">
      <c r="A93" s="14">
        <v>116.0</v>
      </c>
      <c r="B93" s="14" t="s">
        <v>14</v>
      </c>
      <c r="C93" s="14" t="s">
        <v>15</v>
      </c>
      <c r="D93" s="14" t="s">
        <v>16</v>
      </c>
      <c r="E93" s="19">
        <v>55.0</v>
      </c>
      <c r="F93" s="16">
        <f t="shared" si="23"/>
        <v>3287900</v>
      </c>
      <c r="G93" s="16">
        <v>980.0</v>
      </c>
      <c r="H93" s="34">
        <f t="shared" si="21"/>
        <v>53900</v>
      </c>
    </row>
    <row r="94" ht="14.25" customHeight="1">
      <c r="A94" s="14">
        <v>117.0</v>
      </c>
      <c r="B94" s="14" t="s">
        <v>14</v>
      </c>
      <c r="C94" s="14" t="s">
        <v>15</v>
      </c>
      <c r="D94" s="14" t="s">
        <v>16</v>
      </c>
      <c r="E94" s="19">
        <v>55.0</v>
      </c>
      <c r="F94" s="16">
        <f t="shared" si="23"/>
        <v>3287900</v>
      </c>
      <c r="G94" s="16">
        <v>980.0</v>
      </c>
      <c r="H94" s="34">
        <f t="shared" si="21"/>
        <v>53900</v>
      </c>
    </row>
    <row r="95" ht="14.25" customHeight="1">
      <c r="A95" s="8" t="s">
        <v>21</v>
      </c>
      <c r="B95" s="2"/>
      <c r="C95" s="2"/>
      <c r="D95" s="2"/>
      <c r="E95" s="2"/>
      <c r="F95" s="2"/>
      <c r="G95" s="2"/>
      <c r="H95" s="3"/>
    </row>
    <row r="96" ht="14.25" customHeight="1">
      <c r="A96" s="14">
        <v>201.0</v>
      </c>
      <c r="B96" s="14" t="s">
        <v>22</v>
      </c>
      <c r="C96" s="14" t="s">
        <v>15</v>
      </c>
      <c r="D96" s="14" t="s">
        <v>16</v>
      </c>
      <c r="E96" s="19">
        <v>56.0</v>
      </c>
      <c r="F96" s="16">
        <f t="shared" ref="F96:F97" si="24">H96*61</f>
        <v>3416000</v>
      </c>
      <c r="G96" s="16">
        <v>1000.0</v>
      </c>
      <c r="H96" s="34">
        <f t="shared" ref="H96:H109" si="25">G96*E96</f>
        <v>56000</v>
      </c>
    </row>
    <row r="97" ht="14.25" customHeight="1">
      <c r="A97" s="14">
        <v>202.0</v>
      </c>
      <c r="B97" s="14" t="s">
        <v>22</v>
      </c>
      <c r="C97" s="14" t="s">
        <v>15</v>
      </c>
      <c r="D97" s="14" t="s">
        <v>16</v>
      </c>
      <c r="E97" s="19">
        <v>55.0</v>
      </c>
      <c r="F97" s="16">
        <f t="shared" si="24"/>
        <v>3355000</v>
      </c>
      <c r="G97" s="16">
        <v>1000.0</v>
      </c>
      <c r="H97" s="34">
        <f t="shared" si="25"/>
        <v>55000</v>
      </c>
    </row>
    <row r="98" ht="14.25" customHeight="1">
      <c r="A98" s="14">
        <v>203.0</v>
      </c>
      <c r="B98" s="14" t="s">
        <v>22</v>
      </c>
      <c r="C98" s="14" t="s">
        <v>18</v>
      </c>
      <c r="D98" s="14" t="s">
        <v>16</v>
      </c>
      <c r="E98" s="35">
        <v>92.0</v>
      </c>
      <c r="F98" s="16">
        <f t="shared" ref="F98:F99" si="26">H98*59</f>
        <v>4640940</v>
      </c>
      <c r="G98" s="16">
        <v>855.0</v>
      </c>
      <c r="H98" s="34">
        <f t="shared" si="25"/>
        <v>78660</v>
      </c>
    </row>
    <row r="99" ht="14.25" customHeight="1">
      <c r="A99" s="14">
        <v>204.0</v>
      </c>
      <c r="B99" s="14" t="s">
        <v>22</v>
      </c>
      <c r="C99" s="14" t="s">
        <v>18</v>
      </c>
      <c r="D99" s="14" t="s">
        <v>16</v>
      </c>
      <c r="E99" s="15">
        <v>92.0</v>
      </c>
      <c r="F99" s="16">
        <f t="shared" si="26"/>
        <v>4640940</v>
      </c>
      <c r="G99" s="37">
        <v>855.0</v>
      </c>
      <c r="H99" s="34">
        <f t="shared" si="25"/>
        <v>78660</v>
      </c>
    </row>
    <row r="100" ht="14.25" customHeight="1">
      <c r="A100" s="14">
        <v>205.0</v>
      </c>
      <c r="B100" s="14" t="s">
        <v>22</v>
      </c>
      <c r="C100" s="14" t="s">
        <v>38</v>
      </c>
      <c r="D100" s="14" t="s">
        <v>16</v>
      </c>
      <c r="E100" s="19">
        <v>52.0</v>
      </c>
      <c r="F100" s="16">
        <f t="shared" ref="F100:F109" si="27">H100*61</f>
        <v>3172000</v>
      </c>
      <c r="G100" s="16">
        <v>1000.0</v>
      </c>
      <c r="H100" s="34">
        <f t="shared" si="25"/>
        <v>52000</v>
      </c>
    </row>
    <row r="101" ht="14.25" customHeight="1">
      <c r="A101" s="14">
        <v>206.0</v>
      </c>
      <c r="B101" s="14" t="s">
        <v>22</v>
      </c>
      <c r="C101" s="14" t="s">
        <v>15</v>
      </c>
      <c r="D101" s="14" t="s">
        <v>16</v>
      </c>
      <c r="E101" s="19">
        <v>52.0</v>
      </c>
      <c r="F101" s="16">
        <f t="shared" si="27"/>
        <v>3172000</v>
      </c>
      <c r="G101" s="16">
        <v>1000.0</v>
      </c>
      <c r="H101" s="34">
        <f t="shared" si="25"/>
        <v>52000</v>
      </c>
    </row>
    <row r="102" ht="14.25" customHeight="1">
      <c r="A102" s="14">
        <v>207.0</v>
      </c>
      <c r="B102" s="14" t="s">
        <v>22</v>
      </c>
      <c r="C102" s="14" t="s">
        <v>15</v>
      </c>
      <c r="D102" s="14" t="s">
        <v>16</v>
      </c>
      <c r="E102" s="19">
        <v>61.0</v>
      </c>
      <c r="F102" s="16">
        <f t="shared" si="27"/>
        <v>3721000</v>
      </c>
      <c r="G102" s="16">
        <v>1000.0</v>
      </c>
      <c r="H102" s="34">
        <f t="shared" si="25"/>
        <v>61000</v>
      </c>
    </row>
    <row r="103" ht="14.25" customHeight="1">
      <c r="A103" s="14">
        <v>208.0</v>
      </c>
      <c r="B103" s="14" t="s">
        <v>22</v>
      </c>
      <c r="C103" s="14" t="s">
        <v>15</v>
      </c>
      <c r="D103" s="14" t="s">
        <v>16</v>
      </c>
      <c r="E103" s="19">
        <v>64.0</v>
      </c>
      <c r="F103" s="16">
        <f t="shared" si="27"/>
        <v>3904000</v>
      </c>
      <c r="G103" s="16">
        <v>1000.0</v>
      </c>
      <c r="H103" s="34">
        <f t="shared" si="25"/>
        <v>64000</v>
      </c>
    </row>
    <row r="104" ht="14.25" customHeight="1">
      <c r="A104" s="14">
        <v>209.0</v>
      </c>
      <c r="B104" s="14" t="s">
        <v>22</v>
      </c>
      <c r="C104" s="14" t="s">
        <v>15</v>
      </c>
      <c r="D104" s="14" t="s">
        <v>16</v>
      </c>
      <c r="E104" s="19">
        <v>62.0</v>
      </c>
      <c r="F104" s="16">
        <f t="shared" si="27"/>
        <v>3782000</v>
      </c>
      <c r="G104" s="16">
        <v>1000.0</v>
      </c>
      <c r="H104" s="34">
        <f t="shared" si="25"/>
        <v>62000</v>
      </c>
    </row>
    <row r="105" ht="14.25" customHeight="1">
      <c r="A105" s="14">
        <v>210.0</v>
      </c>
      <c r="B105" s="14" t="s">
        <v>22</v>
      </c>
      <c r="C105" s="14" t="s">
        <v>15</v>
      </c>
      <c r="D105" s="14" t="s">
        <v>16</v>
      </c>
      <c r="E105" s="19">
        <v>61.0</v>
      </c>
      <c r="F105" s="16">
        <f t="shared" si="27"/>
        <v>3721000</v>
      </c>
      <c r="G105" s="16">
        <v>1000.0</v>
      </c>
      <c r="H105" s="34">
        <f t="shared" si="25"/>
        <v>61000</v>
      </c>
    </row>
    <row r="106" ht="14.25" customHeight="1">
      <c r="A106" s="14">
        <v>212.0</v>
      </c>
      <c r="B106" s="14" t="s">
        <v>22</v>
      </c>
      <c r="C106" s="14" t="s">
        <v>18</v>
      </c>
      <c r="D106" s="14" t="s">
        <v>20</v>
      </c>
      <c r="E106" s="19">
        <v>93.0</v>
      </c>
      <c r="F106" s="16">
        <f t="shared" si="27"/>
        <v>5786460</v>
      </c>
      <c r="G106" s="16">
        <v>1020.0</v>
      </c>
      <c r="H106" s="34">
        <f t="shared" si="25"/>
        <v>94860</v>
      </c>
    </row>
    <row r="107" ht="14.25" customHeight="1">
      <c r="A107" s="14">
        <v>215.0</v>
      </c>
      <c r="B107" s="14" t="s">
        <v>22</v>
      </c>
      <c r="C107" s="14" t="s">
        <v>17</v>
      </c>
      <c r="D107" s="14" t="s">
        <v>16</v>
      </c>
      <c r="E107" s="19">
        <v>38.0</v>
      </c>
      <c r="F107" s="16">
        <f t="shared" si="27"/>
        <v>2364360</v>
      </c>
      <c r="G107" s="16">
        <v>1020.0</v>
      </c>
      <c r="H107" s="34">
        <f t="shared" si="25"/>
        <v>38760</v>
      </c>
    </row>
    <row r="108" ht="14.25" customHeight="1">
      <c r="A108" s="14">
        <v>217.0</v>
      </c>
      <c r="B108" s="14" t="s">
        <v>22</v>
      </c>
      <c r="C108" s="14" t="s">
        <v>15</v>
      </c>
      <c r="D108" s="14" t="s">
        <v>16</v>
      </c>
      <c r="E108" s="19">
        <v>55.0</v>
      </c>
      <c r="F108" s="16">
        <f t="shared" si="27"/>
        <v>3355000</v>
      </c>
      <c r="G108" s="16">
        <v>1000.0</v>
      </c>
      <c r="H108" s="34">
        <f t="shared" si="25"/>
        <v>55000</v>
      </c>
    </row>
    <row r="109" ht="14.25" customHeight="1">
      <c r="A109" s="14">
        <v>218.0</v>
      </c>
      <c r="B109" s="14" t="s">
        <v>22</v>
      </c>
      <c r="C109" s="14" t="s">
        <v>17</v>
      </c>
      <c r="D109" s="14" t="s">
        <v>16</v>
      </c>
      <c r="E109" s="19">
        <v>36.0</v>
      </c>
      <c r="F109" s="16">
        <f t="shared" si="27"/>
        <v>2196000</v>
      </c>
      <c r="G109" s="16">
        <v>1000.0</v>
      </c>
      <c r="H109" s="34">
        <f t="shared" si="25"/>
        <v>36000</v>
      </c>
    </row>
    <row r="110" ht="14.25" customHeight="1">
      <c r="A110" s="8" t="s">
        <v>25</v>
      </c>
      <c r="B110" s="2"/>
      <c r="C110" s="2"/>
      <c r="D110" s="2"/>
      <c r="E110" s="2"/>
      <c r="F110" s="2"/>
      <c r="G110" s="2"/>
      <c r="H110" s="3"/>
    </row>
    <row r="111" ht="14.25" customHeight="1">
      <c r="A111" s="14">
        <v>301.0</v>
      </c>
      <c r="B111" s="14" t="s">
        <v>26</v>
      </c>
      <c r="C111" s="14" t="s">
        <v>15</v>
      </c>
      <c r="D111" s="14" t="s">
        <v>16</v>
      </c>
      <c r="E111" s="19">
        <v>56.0</v>
      </c>
      <c r="F111" s="16">
        <f t="shared" ref="F111:F112" si="28">H111*61</f>
        <v>3484320</v>
      </c>
      <c r="G111" s="16">
        <v>1020.0</v>
      </c>
      <c r="H111" s="34">
        <f t="shared" ref="H111:H121" si="29">G111*E111</f>
        <v>57120</v>
      </c>
    </row>
    <row r="112" ht="14.25" customHeight="1">
      <c r="A112" s="14">
        <v>302.0</v>
      </c>
      <c r="B112" s="14" t="s">
        <v>26</v>
      </c>
      <c r="C112" s="14" t="s">
        <v>15</v>
      </c>
      <c r="D112" s="14" t="s">
        <v>16</v>
      </c>
      <c r="E112" s="19">
        <v>55.0</v>
      </c>
      <c r="F112" s="16">
        <f t="shared" si="28"/>
        <v>3422100</v>
      </c>
      <c r="G112" s="16">
        <v>1020.0</v>
      </c>
      <c r="H112" s="34">
        <f t="shared" si="29"/>
        <v>56100</v>
      </c>
    </row>
    <row r="113" ht="14.25" customHeight="1">
      <c r="A113" s="14">
        <v>303.0</v>
      </c>
      <c r="B113" s="14" t="s">
        <v>26</v>
      </c>
      <c r="C113" s="14" t="s">
        <v>18</v>
      </c>
      <c r="D113" s="14" t="s">
        <v>16</v>
      </c>
      <c r="E113" s="35">
        <v>92.0</v>
      </c>
      <c r="F113" s="16">
        <f>H113*59</f>
        <v>4722360</v>
      </c>
      <c r="G113" s="16">
        <v>870.0</v>
      </c>
      <c r="H113" s="34">
        <f t="shared" si="29"/>
        <v>80040</v>
      </c>
    </row>
    <row r="114" ht="14.25" customHeight="1">
      <c r="A114" s="14">
        <v>305.0</v>
      </c>
      <c r="B114" s="14" t="s">
        <v>26</v>
      </c>
      <c r="C114" s="14" t="s">
        <v>15</v>
      </c>
      <c r="D114" s="14" t="s">
        <v>16</v>
      </c>
      <c r="E114" s="19">
        <v>52.0</v>
      </c>
      <c r="F114" s="16">
        <f t="shared" ref="F114:F121" si="30">H114*61</f>
        <v>3235440</v>
      </c>
      <c r="G114" s="16">
        <v>1020.0</v>
      </c>
      <c r="H114" s="34">
        <f t="shared" si="29"/>
        <v>53040</v>
      </c>
    </row>
    <row r="115" ht="14.25" customHeight="1">
      <c r="A115" s="14">
        <v>306.0</v>
      </c>
      <c r="B115" s="14" t="s">
        <v>26</v>
      </c>
      <c r="C115" s="14" t="s">
        <v>15</v>
      </c>
      <c r="D115" s="14" t="s">
        <v>16</v>
      </c>
      <c r="E115" s="19">
        <v>52.0</v>
      </c>
      <c r="F115" s="16">
        <f t="shared" si="30"/>
        <v>3235440</v>
      </c>
      <c r="G115" s="16">
        <v>1020.0</v>
      </c>
      <c r="H115" s="34">
        <f t="shared" si="29"/>
        <v>53040</v>
      </c>
    </row>
    <row r="116" ht="14.25" customHeight="1">
      <c r="A116" s="14">
        <v>307.0</v>
      </c>
      <c r="B116" s="14" t="s">
        <v>26</v>
      </c>
      <c r="C116" s="14" t="s">
        <v>15</v>
      </c>
      <c r="D116" s="14" t="s">
        <v>16</v>
      </c>
      <c r="E116" s="19">
        <v>61.0</v>
      </c>
      <c r="F116" s="16">
        <f t="shared" si="30"/>
        <v>3795420</v>
      </c>
      <c r="G116" s="16">
        <v>1020.0</v>
      </c>
      <c r="H116" s="34">
        <f t="shared" si="29"/>
        <v>62220</v>
      </c>
    </row>
    <row r="117" ht="14.25" customHeight="1">
      <c r="A117" s="14">
        <v>308.0</v>
      </c>
      <c r="B117" s="14" t="s">
        <v>26</v>
      </c>
      <c r="C117" s="14" t="s">
        <v>15</v>
      </c>
      <c r="D117" s="14" t="s">
        <v>16</v>
      </c>
      <c r="E117" s="19">
        <v>64.0</v>
      </c>
      <c r="F117" s="16">
        <f t="shared" si="30"/>
        <v>3982080</v>
      </c>
      <c r="G117" s="16">
        <v>1020.0</v>
      </c>
      <c r="H117" s="34">
        <f t="shared" si="29"/>
        <v>65280</v>
      </c>
    </row>
    <row r="118" ht="14.25" customHeight="1">
      <c r="A118" s="14">
        <v>310.0</v>
      </c>
      <c r="B118" s="14" t="s">
        <v>26</v>
      </c>
      <c r="C118" s="14" t="s">
        <v>15</v>
      </c>
      <c r="D118" s="14" t="s">
        <v>16</v>
      </c>
      <c r="E118" s="19">
        <v>61.0</v>
      </c>
      <c r="F118" s="16">
        <f t="shared" si="30"/>
        <v>3795420</v>
      </c>
      <c r="G118" s="16">
        <v>1020.0</v>
      </c>
      <c r="H118" s="34">
        <f t="shared" si="29"/>
        <v>62220</v>
      </c>
    </row>
    <row r="119" ht="14.25" customHeight="1">
      <c r="A119" s="14">
        <v>312.0</v>
      </c>
      <c r="B119" s="14" t="s">
        <v>26</v>
      </c>
      <c r="C119" s="14" t="s">
        <v>18</v>
      </c>
      <c r="D119" s="14" t="s">
        <v>20</v>
      </c>
      <c r="E119" s="19">
        <v>93.0</v>
      </c>
      <c r="F119" s="16">
        <f t="shared" si="30"/>
        <v>5871555</v>
      </c>
      <c r="G119" s="16">
        <v>1035.0</v>
      </c>
      <c r="H119" s="34">
        <f t="shared" si="29"/>
        <v>96255</v>
      </c>
    </row>
    <row r="120" ht="14.25" customHeight="1">
      <c r="A120" s="14">
        <v>315.0</v>
      </c>
      <c r="B120" s="14" t="s">
        <v>26</v>
      </c>
      <c r="C120" s="14" t="s">
        <v>17</v>
      </c>
      <c r="D120" s="14" t="s">
        <v>16</v>
      </c>
      <c r="E120" s="19">
        <v>38.0</v>
      </c>
      <c r="F120" s="16">
        <f t="shared" si="30"/>
        <v>2399130</v>
      </c>
      <c r="G120" s="16">
        <v>1035.0</v>
      </c>
      <c r="H120" s="34">
        <f t="shared" si="29"/>
        <v>39330</v>
      </c>
    </row>
    <row r="121" ht="14.25" customHeight="1">
      <c r="A121" s="14">
        <v>318.0</v>
      </c>
      <c r="B121" s="14" t="s">
        <v>26</v>
      </c>
      <c r="C121" s="14" t="s">
        <v>17</v>
      </c>
      <c r="D121" s="14" t="s">
        <v>16</v>
      </c>
      <c r="E121" s="19">
        <v>36.0</v>
      </c>
      <c r="F121" s="16">
        <f t="shared" si="30"/>
        <v>2239920</v>
      </c>
      <c r="G121" s="16">
        <v>1020.0</v>
      </c>
      <c r="H121" s="34">
        <f t="shared" si="29"/>
        <v>36720</v>
      </c>
    </row>
    <row r="122" ht="14.25" customHeight="1">
      <c r="A122" s="8" t="s">
        <v>28</v>
      </c>
      <c r="B122" s="2"/>
      <c r="C122" s="2"/>
      <c r="D122" s="2"/>
      <c r="E122" s="2"/>
      <c r="F122" s="2"/>
      <c r="G122" s="2"/>
      <c r="H122" s="3"/>
    </row>
    <row r="123" ht="14.25" customHeight="1">
      <c r="A123" s="14">
        <v>402.0</v>
      </c>
      <c r="B123" s="14" t="s">
        <v>29</v>
      </c>
      <c r="C123" s="14" t="s">
        <v>15</v>
      </c>
      <c r="D123" s="14" t="s">
        <v>16</v>
      </c>
      <c r="E123" s="19">
        <v>55.0</v>
      </c>
      <c r="F123" s="16">
        <f>H123*61</f>
        <v>3472425</v>
      </c>
      <c r="G123" s="16">
        <v>1035.0</v>
      </c>
      <c r="H123" s="34">
        <f t="shared" ref="H123:H135" si="31">G123*E123</f>
        <v>56925</v>
      </c>
    </row>
    <row r="124" ht="14.25" customHeight="1">
      <c r="A124" s="14">
        <v>403.0</v>
      </c>
      <c r="B124" s="14" t="s">
        <v>29</v>
      </c>
      <c r="C124" s="14" t="s">
        <v>18</v>
      </c>
      <c r="D124" s="14" t="s">
        <v>16</v>
      </c>
      <c r="E124" s="35">
        <v>92.0</v>
      </c>
      <c r="F124" s="16">
        <f t="shared" ref="F124:F125" si="32">H124*59</f>
        <v>4830920</v>
      </c>
      <c r="G124" s="16">
        <v>890.0</v>
      </c>
      <c r="H124" s="34">
        <f t="shared" si="31"/>
        <v>81880</v>
      </c>
    </row>
    <row r="125" ht="14.25" customHeight="1">
      <c r="A125" s="14">
        <v>404.0</v>
      </c>
      <c r="B125" s="14" t="s">
        <v>29</v>
      </c>
      <c r="C125" s="14" t="s">
        <v>18</v>
      </c>
      <c r="D125" s="14" t="s">
        <v>16</v>
      </c>
      <c r="E125" s="15">
        <v>92.0</v>
      </c>
      <c r="F125" s="16">
        <f t="shared" si="32"/>
        <v>4830920</v>
      </c>
      <c r="G125" s="37">
        <v>890.0</v>
      </c>
      <c r="H125" s="34">
        <f t="shared" si="31"/>
        <v>81880</v>
      </c>
    </row>
    <row r="126" ht="14.25" customHeight="1">
      <c r="A126" s="14">
        <v>405.0</v>
      </c>
      <c r="B126" s="14" t="s">
        <v>29</v>
      </c>
      <c r="C126" s="14" t="s">
        <v>38</v>
      </c>
      <c r="D126" s="14" t="s">
        <v>16</v>
      </c>
      <c r="E126" s="19">
        <v>52.0</v>
      </c>
      <c r="F126" s="16">
        <f t="shared" ref="F126:F135" si="33">H126*61</f>
        <v>3283020</v>
      </c>
      <c r="G126" s="16">
        <v>1035.0</v>
      </c>
      <c r="H126" s="34">
        <f t="shared" si="31"/>
        <v>53820</v>
      </c>
    </row>
    <row r="127" ht="14.25" customHeight="1">
      <c r="A127" s="14">
        <v>406.0</v>
      </c>
      <c r="B127" s="14" t="s">
        <v>29</v>
      </c>
      <c r="C127" s="14" t="s">
        <v>15</v>
      </c>
      <c r="D127" s="14" t="s">
        <v>16</v>
      </c>
      <c r="E127" s="19">
        <v>52.0</v>
      </c>
      <c r="F127" s="16">
        <f t="shared" si="33"/>
        <v>3283020</v>
      </c>
      <c r="G127" s="16">
        <v>1035.0</v>
      </c>
      <c r="H127" s="34">
        <f t="shared" si="31"/>
        <v>53820</v>
      </c>
    </row>
    <row r="128" ht="14.25" customHeight="1">
      <c r="A128" s="14">
        <v>407.0</v>
      </c>
      <c r="B128" s="14" t="s">
        <v>29</v>
      </c>
      <c r="C128" s="14" t="s">
        <v>15</v>
      </c>
      <c r="D128" s="14" t="s">
        <v>16</v>
      </c>
      <c r="E128" s="19">
        <v>61.0</v>
      </c>
      <c r="F128" s="16">
        <f t="shared" si="33"/>
        <v>3851235</v>
      </c>
      <c r="G128" s="16">
        <v>1035.0</v>
      </c>
      <c r="H128" s="34">
        <f t="shared" si="31"/>
        <v>63135</v>
      </c>
    </row>
    <row r="129" ht="14.25" customHeight="1">
      <c r="A129" s="14">
        <v>408.0</v>
      </c>
      <c r="B129" s="14" t="s">
        <v>29</v>
      </c>
      <c r="C129" s="14" t="s">
        <v>15</v>
      </c>
      <c r="D129" s="14" t="s">
        <v>16</v>
      </c>
      <c r="E129" s="19">
        <v>64.0</v>
      </c>
      <c r="F129" s="16">
        <f t="shared" si="33"/>
        <v>4040640</v>
      </c>
      <c r="G129" s="16">
        <v>1035.0</v>
      </c>
      <c r="H129" s="34">
        <f t="shared" si="31"/>
        <v>66240</v>
      </c>
    </row>
    <row r="130" ht="14.25" customHeight="1">
      <c r="A130" s="14">
        <v>409.0</v>
      </c>
      <c r="B130" s="14" t="s">
        <v>29</v>
      </c>
      <c r="C130" s="14" t="s">
        <v>15</v>
      </c>
      <c r="D130" s="14" t="s">
        <v>16</v>
      </c>
      <c r="E130" s="19">
        <v>62.0</v>
      </c>
      <c r="F130" s="16">
        <f t="shared" si="33"/>
        <v>3914370</v>
      </c>
      <c r="G130" s="16">
        <v>1035.0</v>
      </c>
      <c r="H130" s="34">
        <f t="shared" si="31"/>
        <v>64170</v>
      </c>
    </row>
    <row r="131" ht="14.25" customHeight="1">
      <c r="A131" s="14">
        <v>410.0</v>
      </c>
      <c r="B131" s="14" t="s">
        <v>29</v>
      </c>
      <c r="C131" s="14" t="s">
        <v>15</v>
      </c>
      <c r="D131" s="14" t="s">
        <v>16</v>
      </c>
      <c r="E131" s="19">
        <v>61.0</v>
      </c>
      <c r="F131" s="16">
        <f t="shared" si="33"/>
        <v>3851235</v>
      </c>
      <c r="G131" s="16">
        <v>1035.0</v>
      </c>
      <c r="H131" s="34">
        <f t="shared" si="31"/>
        <v>63135</v>
      </c>
    </row>
    <row r="132" ht="14.25" customHeight="1">
      <c r="A132" s="14">
        <v>412.0</v>
      </c>
      <c r="B132" s="14" t="s">
        <v>29</v>
      </c>
      <c r="C132" s="14" t="s">
        <v>18</v>
      </c>
      <c r="D132" s="14" t="s">
        <v>20</v>
      </c>
      <c r="E132" s="19">
        <v>93.0</v>
      </c>
      <c r="F132" s="16">
        <f t="shared" si="33"/>
        <v>5985015</v>
      </c>
      <c r="G132" s="16">
        <v>1055.0</v>
      </c>
      <c r="H132" s="34">
        <f t="shared" si="31"/>
        <v>98115</v>
      </c>
    </row>
    <row r="133" ht="14.25" customHeight="1">
      <c r="A133" s="14">
        <v>413.0</v>
      </c>
      <c r="B133" s="14" t="s">
        <v>29</v>
      </c>
      <c r="C133" s="14" t="s">
        <v>18</v>
      </c>
      <c r="D133" s="14" t="s">
        <v>24</v>
      </c>
      <c r="E133" s="19">
        <v>80.0</v>
      </c>
      <c r="F133" s="16">
        <f t="shared" si="33"/>
        <v>5148400</v>
      </c>
      <c r="G133" s="16">
        <v>1055.0</v>
      </c>
      <c r="H133" s="34">
        <f t="shared" si="31"/>
        <v>84400</v>
      </c>
    </row>
    <row r="134" ht="14.25" customHeight="1">
      <c r="A134" s="14">
        <v>414.0</v>
      </c>
      <c r="B134" s="14" t="s">
        <v>29</v>
      </c>
      <c r="C134" s="14" t="s">
        <v>18</v>
      </c>
      <c r="D134" s="14" t="s">
        <v>41</v>
      </c>
      <c r="E134" s="19">
        <v>106.0</v>
      </c>
      <c r="F134" s="16">
        <f t="shared" si="33"/>
        <v>6821630</v>
      </c>
      <c r="G134" s="16">
        <v>1055.0</v>
      </c>
      <c r="H134" s="34">
        <f t="shared" si="31"/>
        <v>111830</v>
      </c>
    </row>
    <row r="135" ht="14.25" customHeight="1">
      <c r="A135" s="14">
        <v>418.0</v>
      </c>
      <c r="B135" s="14" t="s">
        <v>29</v>
      </c>
      <c r="C135" s="14" t="s">
        <v>17</v>
      </c>
      <c r="D135" s="14" t="s">
        <v>16</v>
      </c>
      <c r="E135" s="19">
        <v>36.0</v>
      </c>
      <c r="F135" s="16">
        <f t="shared" si="33"/>
        <v>2272860</v>
      </c>
      <c r="G135" s="16">
        <v>1035.0</v>
      </c>
      <c r="H135" s="34">
        <f t="shared" si="31"/>
        <v>37260</v>
      </c>
    </row>
    <row r="136" ht="50.25" customHeight="1">
      <c r="A136" s="4" t="s">
        <v>1</v>
      </c>
      <c r="B136" s="5" t="s">
        <v>2</v>
      </c>
      <c r="C136" s="6" t="s">
        <v>3</v>
      </c>
      <c r="D136" s="7" t="s">
        <v>42</v>
      </c>
      <c r="E136" s="2"/>
      <c r="F136" s="2"/>
      <c r="G136" s="2"/>
      <c r="H136" s="3"/>
    </row>
    <row r="137" ht="14.25" customHeight="1">
      <c r="A137" s="5" t="s">
        <v>5</v>
      </c>
      <c r="B137" s="5" t="s">
        <v>6</v>
      </c>
      <c r="C137" s="5" t="s">
        <v>7</v>
      </c>
      <c r="D137" s="5" t="s">
        <v>8</v>
      </c>
      <c r="E137" s="5" t="s">
        <v>9</v>
      </c>
      <c r="F137" s="11" t="s">
        <v>32</v>
      </c>
      <c r="G137" s="5" t="s">
        <v>43</v>
      </c>
      <c r="H137" s="5" t="s">
        <v>12</v>
      </c>
    </row>
    <row r="138" ht="14.25" customHeight="1">
      <c r="A138" s="8" t="s">
        <v>13</v>
      </c>
      <c r="B138" s="2"/>
      <c r="C138" s="2"/>
      <c r="D138" s="2"/>
      <c r="E138" s="2"/>
      <c r="F138" s="2"/>
      <c r="G138" s="2"/>
      <c r="H138" s="3"/>
    </row>
    <row r="139" ht="14.25" customHeight="1">
      <c r="A139" s="6">
        <v>102.0</v>
      </c>
      <c r="B139" s="6" t="s">
        <v>14</v>
      </c>
      <c r="C139" s="6" t="s">
        <v>15</v>
      </c>
      <c r="D139" s="6" t="s">
        <v>16</v>
      </c>
      <c r="E139" s="21">
        <v>55.0</v>
      </c>
      <c r="F139" s="22">
        <f>H139*62</f>
        <v>3341800</v>
      </c>
      <c r="G139" s="23">
        <v>980.0</v>
      </c>
      <c r="H139" s="23">
        <f t="shared" ref="H139:H156" si="34">E139*G139</f>
        <v>53900</v>
      </c>
    </row>
    <row r="140" ht="14.25" customHeight="1">
      <c r="A140" s="6">
        <v>103.0</v>
      </c>
      <c r="B140" s="6" t="s">
        <v>14</v>
      </c>
      <c r="C140" s="6" t="s">
        <v>15</v>
      </c>
      <c r="D140" s="6" t="s">
        <v>16</v>
      </c>
      <c r="E140" s="21">
        <v>55.0</v>
      </c>
      <c r="F140" s="22">
        <f t="shared" ref="F140:F144" si="35">H140*61</f>
        <v>3287900</v>
      </c>
      <c r="G140" s="23">
        <v>980.0</v>
      </c>
      <c r="H140" s="23">
        <f t="shared" si="34"/>
        <v>53900</v>
      </c>
    </row>
    <row r="141" ht="14.25" customHeight="1">
      <c r="A141" s="6">
        <v>104.0</v>
      </c>
      <c r="B141" s="6" t="s">
        <v>14</v>
      </c>
      <c r="C141" s="6" t="s">
        <v>17</v>
      </c>
      <c r="D141" s="6" t="s">
        <v>16</v>
      </c>
      <c r="E141" s="21">
        <v>38.0</v>
      </c>
      <c r="F141" s="22">
        <f t="shared" si="35"/>
        <v>2318000</v>
      </c>
      <c r="G141" s="23">
        <v>1000.0</v>
      </c>
      <c r="H141" s="23">
        <f t="shared" si="34"/>
        <v>38000</v>
      </c>
    </row>
    <row r="142" ht="14.25" customHeight="1">
      <c r="A142" s="26">
        <v>105.0</v>
      </c>
      <c r="B142" s="38" t="s">
        <v>14</v>
      </c>
      <c r="C142" s="26" t="s">
        <v>15</v>
      </c>
      <c r="D142" s="38" t="s">
        <v>16</v>
      </c>
      <c r="E142" s="27">
        <v>55.0</v>
      </c>
      <c r="F142" s="28">
        <f t="shared" si="35"/>
        <v>3287900</v>
      </c>
      <c r="G142" s="29">
        <v>980.0</v>
      </c>
      <c r="H142" s="29">
        <f t="shared" si="34"/>
        <v>53900</v>
      </c>
      <c r="I142" s="39"/>
    </row>
    <row r="143" ht="14.25" customHeight="1">
      <c r="A143" s="5">
        <v>106.0</v>
      </c>
      <c r="B143" s="5" t="s">
        <v>14</v>
      </c>
      <c r="C143" s="5" t="s">
        <v>15</v>
      </c>
      <c r="D143" s="5" t="s">
        <v>16</v>
      </c>
      <c r="E143" s="30">
        <v>55.0</v>
      </c>
      <c r="F143" s="31">
        <f t="shared" si="35"/>
        <v>3287900</v>
      </c>
      <c r="G143" s="13">
        <v>980.0</v>
      </c>
      <c r="H143" s="13">
        <f t="shared" si="34"/>
        <v>53900</v>
      </c>
    </row>
    <row r="144" ht="14.25" customHeight="1">
      <c r="A144" s="14">
        <v>107.0</v>
      </c>
      <c r="B144" s="14" t="s">
        <v>14</v>
      </c>
      <c r="C144" s="14" t="s">
        <v>39</v>
      </c>
      <c r="D144" s="14" t="s">
        <v>40</v>
      </c>
      <c r="E144" s="19">
        <v>116.0</v>
      </c>
      <c r="F144" s="28">
        <f t="shared" si="35"/>
        <v>6934480</v>
      </c>
      <c r="G144" s="17">
        <v>980.0</v>
      </c>
      <c r="H144" s="17">
        <f t="shared" si="34"/>
        <v>113680</v>
      </c>
    </row>
    <row r="145" ht="14.25" customHeight="1">
      <c r="A145" s="6">
        <v>109.0</v>
      </c>
      <c r="B145" s="6" t="s">
        <v>14</v>
      </c>
      <c r="C145" s="6" t="s">
        <v>44</v>
      </c>
      <c r="D145" s="6" t="s">
        <v>24</v>
      </c>
      <c r="E145" s="21">
        <v>66.0</v>
      </c>
      <c r="F145" s="22">
        <f>H145*62</f>
        <v>4010160</v>
      </c>
      <c r="G145" s="23">
        <v>980.0</v>
      </c>
      <c r="H145" s="23">
        <f t="shared" si="34"/>
        <v>64680</v>
      </c>
    </row>
    <row r="146" ht="14.25" customHeight="1">
      <c r="A146" s="14">
        <v>111.0</v>
      </c>
      <c r="B146" s="14" t="s">
        <v>14</v>
      </c>
      <c r="C146" s="14" t="s">
        <v>15</v>
      </c>
      <c r="D146" s="14" t="s">
        <v>16</v>
      </c>
      <c r="E146" s="19">
        <v>64.0</v>
      </c>
      <c r="F146" s="28">
        <f t="shared" ref="F146:F152" si="36">H146*61</f>
        <v>3904000</v>
      </c>
      <c r="G146" s="17">
        <v>1000.0</v>
      </c>
      <c r="H146" s="17">
        <f t="shared" si="34"/>
        <v>64000</v>
      </c>
    </row>
    <row r="147" ht="14.25" customHeight="1">
      <c r="A147" s="14">
        <v>112.0</v>
      </c>
      <c r="B147" s="14" t="s">
        <v>14</v>
      </c>
      <c r="C147" s="14" t="s">
        <v>15</v>
      </c>
      <c r="D147" s="14" t="s">
        <v>16</v>
      </c>
      <c r="E147" s="19">
        <v>61.0</v>
      </c>
      <c r="F147" s="28">
        <f t="shared" si="36"/>
        <v>3646580</v>
      </c>
      <c r="G147" s="17">
        <v>980.0</v>
      </c>
      <c r="H147" s="17">
        <f t="shared" si="34"/>
        <v>59780</v>
      </c>
    </row>
    <row r="148" ht="14.25" customHeight="1">
      <c r="A148" s="14">
        <v>113.0</v>
      </c>
      <c r="B148" s="14" t="s">
        <v>14</v>
      </c>
      <c r="C148" s="14" t="s">
        <v>15</v>
      </c>
      <c r="D148" s="14" t="s">
        <v>16</v>
      </c>
      <c r="E148" s="19">
        <v>61.0</v>
      </c>
      <c r="F148" s="28">
        <f t="shared" si="36"/>
        <v>3646580</v>
      </c>
      <c r="G148" s="17">
        <v>980.0</v>
      </c>
      <c r="H148" s="17">
        <f t="shared" si="34"/>
        <v>59780</v>
      </c>
    </row>
    <row r="149" ht="14.25" customHeight="1">
      <c r="A149" s="14">
        <v>114.0</v>
      </c>
      <c r="B149" s="14" t="s">
        <v>14</v>
      </c>
      <c r="C149" s="14" t="s">
        <v>15</v>
      </c>
      <c r="D149" s="14" t="s">
        <v>16</v>
      </c>
      <c r="E149" s="19">
        <v>62.0</v>
      </c>
      <c r="F149" s="28">
        <f t="shared" si="36"/>
        <v>3782000</v>
      </c>
      <c r="G149" s="17">
        <v>1000.0</v>
      </c>
      <c r="H149" s="17">
        <f t="shared" si="34"/>
        <v>62000</v>
      </c>
    </row>
    <row r="150" ht="14.25" customHeight="1">
      <c r="A150" s="14">
        <v>115.0</v>
      </c>
      <c r="B150" s="14" t="s">
        <v>14</v>
      </c>
      <c r="C150" s="14" t="s">
        <v>15</v>
      </c>
      <c r="D150" s="14" t="s">
        <v>16</v>
      </c>
      <c r="E150" s="19">
        <v>64.0</v>
      </c>
      <c r="F150" s="28">
        <f t="shared" si="36"/>
        <v>3904000</v>
      </c>
      <c r="G150" s="17">
        <v>1000.0</v>
      </c>
      <c r="H150" s="17">
        <f t="shared" si="34"/>
        <v>64000</v>
      </c>
    </row>
    <row r="151" ht="14.25" customHeight="1">
      <c r="A151" s="14">
        <v>116.0</v>
      </c>
      <c r="B151" s="14" t="s">
        <v>14</v>
      </c>
      <c r="C151" s="14" t="s">
        <v>15</v>
      </c>
      <c r="D151" s="14" t="s">
        <v>16</v>
      </c>
      <c r="E151" s="19">
        <v>61.0</v>
      </c>
      <c r="F151" s="28">
        <f t="shared" si="36"/>
        <v>3646580</v>
      </c>
      <c r="G151" s="17">
        <v>980.0</v>
      </c>
      <c r="H151" s="17">
        <f t="shared" si="34"/>
        <v>59780</v>
      </c>
    </row>
    <row r="152" ht="14.25" customHeight="1">
      <c r="A152" s="6">
        <v>117.0</v>
      </c>
      <c r="B152" s="6" t="s">
        <v>14</v>
      </c>
      <c r="C152" s="6" t="s">
        <v>15</v>
      </c>
      <c r="D152" s="6" t="s">
        <v>16</v>
      </c>
      <c r="E152" s="21">
        <v>52.0</v>
      </c>
      <c r="F152" s="22">
        <f t="shared" si="36"/>
        <v>3108560</v>
      </c>
      <c r="G152" s="23">
        <v>980.0</v>
      </c>
      <c r="H152" s="23">
        <f t="shared" si="34"/>
        <v>50960</v>
      </c>
    </row>
    <row r="153" ht="14.25" customHeight="1">
      <c r="A153" s="14">
        <v>119.0</v>
      </c>
      <c r="B153" s="14" t="s">
        <v>14</v>
      </c>
      <c r="C153" s="14" t="s">
        <v>44</v>
      </c>
      <c r="D153" s="14" t="s">
        <v>16</v>
      </c>
      <c r="E153" s="19">
        <v>91.0</v>
      </c>
      <c r="F153" s="28">
        <f t="shared" ref="F153:F154" si="37">H153*59</f>
        <v>4590495</v>
      </c>
      <c r="G153" s="17">
        <v>855.0</v>
      </c>
      <c r="H153" s="17">
        <f t="shared" si="34"/>
        <v>77805</v>
      </c>
    </row>
    <row r="154" ht="14.25" customHeight="1">
      <c r="A154" s="14">
        <v>120.0</v>
      </c>
      <c r="B154" s="14" t="s">
        <v>14</v>
      </c>
      <c r="C154" s="14" t="s">
        <v>44</v>
      </c>
      <c r="D154" s="14" t="s">
        <v>16</v>
      </c>
      <c r="E154" s="19">
        <v>91.0</v>
      </c>
      <c r="F154" s="28">
        <f t="shared" si="37"/>
        <v>4590495</v>
      </c>
      <c r="G154" s="17">
        <v>855.0</v>
      </c>
      <c r="H154" s="17">
        <f t="shared" si="34"/>
        <v>77805</v>
      </c>
    </row>
    <row r="155" ht="14.25" customHeight="1">
      <c r="A155" s="5">
        <v>121.0</v>
      </c>
      <c r="B155" s="5" t="s">
        <v>14</v>
      </c>
      <c r="C155" s="5" t="s">
        <v>15</v>
      </c>
      <c r="D155" s="5" t="s">
        <v>16</v>
      </c>
      <c r="E155" s="30">
        <v>55.0</v>
      </c>
      <c r="F155" s="31">
        <f t="shared" ref="F155:F156" si="38">H155*61</f>
        <v>3287900</v>
      </c>
      <c r="G155" s="17">
        <v>980.0</v>
      </c>
      <c r="H155" s="17">
        <f t="shared" si="34"/>
        <v>53900</v>
      </c>
    </row>
    <row r="156" ht="14.25" customHeight="1">
      <c r="A156" s="14">
        <v>122.0</v>
      </c>
      <c r="B156" s="14" t="s">
        <v>14</v>
      </c>
      <c r="C156" s="14" t="s">
        <v>15</v>
      </c>
      <c r="D156" s="14" t="s">
        <v>16</v>
      </c>
      <c r="E156" s="19">
        <v>56.0</v>
      </c>
      <c r="F156" s="28">
        <f t="shared" si="38"/>
        <v>3347680</v>
      </c>
      <c r="G156" s="17">
        <v>980.0</v>
      </c>
      <c r="H156" s="17">
        <f t="shared" si="34"/>
        <v>54880</v>
      </c>
    </row>
    <row r="157" ht="30.0" customHeight="1">
      <c r="A157" s="8" t="s">
        <v>21</v>
      </c>
      <c r="B157" s="2"/>
      <c r="C157" s="2"/>
      <c r="D157" s="2"/>
      <c r="E157" s="2"/>
      <c r="F157" s="2"/>
      <c r="G157" s="2"/>
      <c r="H157" s="3"/>
    </row>
    <row r="158" ht="14.25" customHeight="1">
      <c r="A158" s="6">
        <v>201.0</v>
      </c>
      <c r="B158" s="6" t="s">
        <v>22</v>
      </c>
      <c r="C158" s="6" t="s">
        <v>17</v>
      </c>
      <c r="D158" s="6" t="s">
        <v>16</v>
      </c>
      <c r="E158" s="21">
        <v>38.0</v>
      </c>
      <c r="F158" s="22">
        <f t="shared" ref="F158:F164" si="39">H158*61</f>
        <v>2364360</v>
      </c>
      <c r="G158" s="23">
        <v>1020.0</v>
      </c>
      <c r="H158" s="23">
        <f t="shared" ref="H158:H164" si="40">E158*G158</f>
        <v>38760</v>
      </c>
    </row>
    <row r="159" ht="14.25" customHeight="1">
      <c r="A159" s="5">
        <v>202.0</v>
      </c>
      <c r="B159" s="5" t="s">
        <v>22</v>
      </c>
      <c r="C159" s="5" t="s">
        <v>15</v>
      </c>
      <c r="D159" s="5" t="s">
        <v>16</v>
      </c>
      <c r="E159" s="30">
        <v>55.0</v>
      </c>
      <c r="F159" s="31">
        <f t="shared" si="39"/>
        <v>3355000</v>
      </c>
      <c r="G159" s="40">
        <v>1000.0</v>
      </c>
      <c r="H159" s="40">
        <f t="shared" si="40"/>
        <v>55000</v>
      </c>
    </row>
    <row r="160" ht="14.25" customHeight="1">
      <c r="A160" s="26">
        <v>203.0</v>
      </c>
      <c r="B160" s="26" t="s">
        <v>22</v>
      </c>
      <c r="C160" s="26" t="s">
        <v>15</v>
      </c>
      <c r="D160" s="26" t="s">
        <v>16</v>
      </c>
      <c r="E160" s="27">
        <v>55.0</v>
      </c>
      <c r="F160" s="28">
        <f t="shared" si="39"/>
        <v>3355000</v>
      </c>
      <c r="G160" s="40">
        <v>1000.0</v>
      </c>
      <c r="H160" s="40">
        <f t="shared" si="40"/>
        <v>55000</v>
      </c>
    </row>
    <row r="161" ht="14.25" customHeight="1">
      <c r="A161" s="6">
        <v>204.0</v>
      </c>
      <c r="B161" s="6" t="s">
        <v>22</v>
      </c>
      <c r="C161" s="6" t="s">
        <v>17</v>
      </c>
      <c r="D161" s="6" t="s">
        <v>16</v>
      </c>
      <c r="E161" s="21">
        <v>38.0</v>
      </c>
      <c r="F161" s="22">
        <f t="shared" si="39"/>
        <v>2364360</v>
      </c>
      <c r="G161" s="23">
        <v>1020.0</v>
      </c>
      <c r="H161" s="23">
        <f t="shared" si="40"/>
        <v>38760</v>
      </c>
    </row>
    <row r="162" ht="14.25" customHeight="1">
      <c r="A162" s="14">
        <v>205.0</v>
      </c>
      <c r="B162" s="14" t="s">
        <v>22</v>
      </c>
      <c r="C162" s="14" t="s">
        <v>15</v>
      </c>
      <c r="D162" s="41" t="s">
        <v>16</v>
      </c>
      <c r="E162" s="19">
        <v>55.0</v>
      </c>
      <c r="F162" s="28">
        <f t="shared" si="39"/>
        <v>3355000</v>
      </c>
      <c r="G162" s="17">
        <v>1000.0</v>
      </c>
      <c r="H162" s="17">
        <f t="shared" si="40"/>
        <v>55000</v>
      </c>
    </row>
    <row r="163" ht="14.25" customHeight="1">
      <c r="A163" s="6">
        <v>206.0</v>
      </c>
      <c r="B163" s="6" t="s">
        <v>22</v>
      </c>
      <c r="C163" s="6" t="s">
        <v>15</v>
      </c>
      <c r="D163" s="6" t="s">
        <v>16</v>
      </c>
      <c r="E163" s="21">
        <v>55.0</v>
      </c>
      <c r="F163" s="22">
        <f t="shared" si="39"/>
        <v>3355000</v>
      </c>
      <c r="G163" s="17">
        <v>1000.0</v>
      </c>
      <c r="H163" s="17">
        <f t="shared" si="40"/>
        <v>55000</v>
      </c>
    </row>
    <row r="164" ht="14.25" customHeight="1">
      <c r="A164" s="14">
        <v>207.0</v>
      </c>
      <c r="B164" s="14" t="s">
        <v>22</v>
      </c>
      <c r="C164" s="14" t="s">
        <v>39</v>
      </c>
      <c r="D164" s="14" t="s">
        <v>40</v>
      </c>
      <c r="E164" s="19">
        <v>116.0</v>
      </c>
      <c r="F164" s="28">
        <f t="shared" si="39"/>
        <v>7076000</v>
      </c>
      <c r="G164" s="17">
        <v>1000.0</v>
      </c>
      <c r="H164" s="17">
        <f t="shared" si="40"/>
        <v>116000</v>
      </c>
    </row>
    <row r="165" ht="14.25" customHeight="1">
      <c r="A165" s="14">
        <v>208.0</v>
      </c>
      <c r="B165" s="14" t="s">
        <v>22</v>
      </c>
      <c r="C165" s="14" t="s">
        <v>44</v>
      </c>
      <c r="D165" s="14" t="s">
        <v>20</v>
      </c>
      <c r="E165" s="19">
        <v>84.0</v>
      </c>
      <c r="F165" s="28">
        <f>H184*61</f>
        <v>5124000</v>
      </c>
      <c r="G165" s="17">
        <v>1000.0</v>
      </c>
    </row>
    <row r="166" ht="14.25" customHeight="1">
      <c r="A166" s="14">
        <v>211.0</v>
      </c>
      <c r="B166" s="14" t="s">
        <v>22</v>
      </c>
      <c r="C166" s="14" t="s">
        <v>15</v>
      </c>
      <c r="D166" s="14" t="s">
        <v>16</v>
      </c>
      <c r="E166" s="19">
        <v>64.0</v>
      </c>
      <c r="F166" s="28">
        <f t="shared" ref="F166:F171" si="41">H166*61</f>
        <v>3982080</v>
      </c>
      <c r="G166" s="17">
        <v>1020.0</v>
      </c>
      <c r="H166" s="17">
        <f t="shared" ref="H166:H174" si="42">E166*G166</f>
        <v>65280</v>
      </c>
    </row>
    <row r="167" ht="14.25" customHeight="1">
      <c r="A167" s="14">
        <v>212.0</v>
      </c>
      <c r="B167" s="14" t="s">
        <v>22</v>
      </c>
      <c r="C167" s="14" t="s">
        <v>15</v>
      </c>
      <c r="D167" s="14" t="s">
        <v>16</v>
      </c>
      <c r="E167" s="19">
        <v>61.0</v>
      </c>
      <c r="F167" s="28">
        <f t="shared" si="41"/>
        <v>3721000</v>
      </c>
      <c r="G167" s="17">
        <v>1000.0</v>
      </c>
      <c r="H167" s="17">
        <f t="shared" si="42"/>
        <v>61000</v>
      </c>
    </row>
    <row r="168" ht="14.25" customHeight="1">
      <c r="A168" s="14">
        <v>213.0</v>
      </c>
      <c r="B168" s="14" t="s">
        <v>22</v>
      </c>
      <c r="C168" s="14" t="s">
        <v>15</v>
      </c>
      <c r="D168" s="14" t="s">
        <v>16</v>
      </c>
      <c r="E168" s="19">
        <v>61.0</v>
      </c>
      <c r="F168" s="28">
        <f t="shared" si="41"/>
        <v>3721000</v>
      </c>
      <c r="G168" s="17">
        <v>1000.0</v>
      </c>
      <c r="H168" s="17">
        <f t="shared" si="42"/>
        <v>61000</v>
      </c>
    </row>
    <row r="169" ht="14.25" customHeight="1">
      <c r="A169" s="14">
        <v>215.0</v>
      </c>
      <c r="B169" s="14" t="s">
        <v>22</v>
      </c>
      <c r="C169" s="14" t="s">
        <v>15</v>
      </c>
      <c r="D169" s="14" t="s">
        <v>16</v>
      </c>
      <c r="E169" s="19">
        <v>64.0</v>
      </c>
      <c r="F169" s="28">
        <f t="shared" si="41"/>
        <v>3982080</v>
      </c>
      <c r="G169" s="17">
        <v>1020.0</v>
      </c>
      <c r="H169" s="17">
        <f t="shared" si="42"/>
        <v>65280</v>
      </c>
    </row>
    <row r="170" ht="14.25" customHeight="1">
      <c r="A170" s="14">
        <v>216.0</v>
      </c>
      <c r="B170" s="14" t="s">
        <v>22</v>
      </c>
      <c r="C170" s="14" t="s">
        <v>15</v>
      </c>
      <c r="D170" s="14" t="s">
        <v>16</v>
      </c>
      <c r="E170" s="19">
        <v>61.0</v>
      </c>
      <c r="F170" s="28">
        <f t="shared" si="41"/>
        <v>3795420</v>
      </c>
      <c r="G170" s="17">
        <v>1020.0</v>
      </c>
      <c r="H170" s="17">
        <f t="shared" si="42"/>
        <v>62220</v>
      </c>
    </row>
    <row r="171" ht="14.25" customHeight="1">
      <c r="A171" s="6">
        <v>218.0</v>
      </c>
      <c r="B171" s="6" t="s">
        <v>22</v>
      </c>
      <c r="C171" s="6" t="s">
        <v>15</v>
      </c>
      <c r="D171" s="6" t="s">
        <v>16</v>
      </c>
      <c r="E171" s="21">
        <v>52.0</v>
      </c>
      <c r="F171" s="22">
        <f t="shared" si="41"/>
        <v>3172000</v>
      </c>
      <c r="G171" s="23">
        <v>1000.0</v>
      </c>
      <c r="H171" s="23">
        <f t="shared" si="42"/>
        <v>52000</v>
      </c>
    </row>
    <row r="172" ht="14.25" customHeight="1">
      <c r="A172" s="14">
        <v>219.0</v>
      </c>
      <c r="B172" s="14" t="s">
        <v>22</v>
      </c>
      <c r="C172" s="14" t="s">
        <v>44</v>
      </c>
      <c r="D172" s="14" t="s">
        <v>16</v>
      </c>
      <c r="E172" s="19">
        <v>91.0</v>
      </c>
      <c r="F172" s="28">
        <f>H172*59</f>
        <v>4697875</v>
      </c>
      <c r="G172" s="17">
        <v>875.0</v>
      </c>
      <c r="H172" s="17">
        <f t="shared" si="42"/>
        <v>79625</v>
      </c>
    </row>
    <row r="173" ht="14.25" customHeight="1">
      <c r="A173" s="14">
        <v>221.0</v>
      </c>
      <c r="B173" s="14" t="s">
        <v>22</v>
      </c>
      <c r="C173" s="14" t="s">
        <v>15</v>
      </c>
      <c r="D173" s="14" t="s">
        <v>16</v>
      </c>
      <c r="E173" s="19">
        <v>55.0</v>
      </c>
      <c r="F173" s="28">
        <f t="shared" ref="F173:F174" si="43">H173*61</f>
        <v>3355000</v>
      </c>
      <c r="G173" s="17">
        <v>1000.0</v>
      </c>
      <c r="H173" s="17">
        <f t="shared" si="42"/>
        <v>55000</v>
      </c>
    </row>
    <row r="174" ht="14.25" customHeight="1">
      <c r="A174" s="14">
        <v>222.0</v>
      </c>
      <c r="B174" s="14" t="s">
        <v>22</v>
      </c>
      <c r="C174" s="14" t="s">
        <v>15</v>
      </c>
      <c r="D174" s="14" t="s">
        <v>16</v>
      </c>
      <c r="E174" s="19">
        <v>56.0</v>
      </c>
      <c r="F174" s="28">
        <f t="shared" si="43"/>
        <v>3416000</v>
      </c>
      <c r="G174" s="17">
        <v>1000.0</v>
      </c>
      <c r="H174" s="17">
        <f t="shared" si="42"/>
        <v>56000</v>
      </c>
    </row>
    <row r="175" ht="15.0" customHeight="1">
      <c r="A175" s="8" t="s">
        <v>25</v>
      </c>
      <c r="B175" s="2"/>
      <c r="C175" s="2"/>
      <c r="D175" s="2"/>
      <c r="E175" s="2"/>
      <c r="F175" s="2"/>
      <c r="G175" s="2"/>
      <c r="H175" s="3"/>
    </row>
    <row r="176" ht="14.25" customHeight="1">
      <c r="A176" s="42">
        <v>301.0</v>
      </c>
      <c r="B176" s="42" t="s">
        <v>26</v>
      </c>
      <c r="C176" s="42" t="s">
        <v>17</v>
      </c>
      <c r="D176" s="42" t="s">
        <v>16</v>
      </c>
      <c r="E176" s="43">
        <v>38.0</v>
      </c>
      <c r="F176" s="44">
        <f t="shared" ref="F176:F183" si="44">H176*61</f>
        <v>2399130</v>
      </c>
      <c r="G176" s="40">
        <v>1035.0</v>
      </c>
      <c r="H176" s="40">
        <f t="shared" ref="H176:H183" si="45">E176*G176</f>
        <v>39330</v>
      </c>
    </row>
    <row r="177" ht="14.25" customHeight="1">
      <c r="A177" s="14">
        <v>302.0</v>
      </c>
      <c r="B177" s="14" t="s">
        <v>26</v>
      </c>
      <c r="C177" s="14" t="s">
        <v>15</v>
      </c>
      <c r="D177" s="14" t="s">
        <v>16</v>
      </c>
      <c r="E177" s="19">
        <v>55.0</v>
      </c>
      <c r="F177" s="28">
        <f t="shared" si="44"/>
        <v>3422100</v>
      </c>
      <c r="G177" s="17">
        <v>1020.0</v>
      </c>
      <c r="H177" s="17">
        <f t="shared" si="45"/>
        <v>56100</v>
      </c>
    </row>
    <row r="178" ht="14.25" customHeight="1">
      <c r="A178" s="14">
        <v>303.0</v>
      </c>
      <c r="B178" s="14" t="s">
        <v>26</v>
      </c>
      <c r="C178" s="14" t="s">
        <v>15</v>
      </c>
      <c r="D178" s="14" t="s">
        <v>16</v>
      </c>
      <c r="E178" s="19">
        <v>55.0</v>
      </c>
      <c r="F178" s="28">
        <f t="shared" si="44"/>
        <v>3422100</v>
      </c>
      <c r="G178" s="17">
        <v>1020.0</v>
      </c>
      <c r="H178" s="17">
        <f t="shared" si="45"/>
        <v>56100</v>
      </c>
    </row>
    <row r="179" ht="14.25" customHeight="1">
      <c r="A179" s="6">
        <v>304.0</v>
      </c>
      <c r="B179" s="6" t="s">
        <v>26</v>
      </c>
      <c r="C179" s="6" t="s">
        <v>17</v>
      </c>
      <c r="D179" s="6" t="s">
        <v>16</v>
      </c>
      <c r="E179" s="21">
        <v>38.0</v>
      </c>
      <c r="F179" s="22">
        <f t="shared" si="44"/>
        <v>2399130</v>
      </c>
      <c r="G179" s="23">
        <v>1035.0</v>
      </c>
      <c r="H179" s="23">
        <f t="shared" si="45"/>
        <v>39330</v>
      </c>
    </row>
    <row r="180" ht="14.25" customHeight="1">
      <c r="A180" s="14">
        <v>307.0</v>
      </c>
      <c r="B180" s="14" t="s">
        <v>26</v>
      </c>
      <c r="C180" s="14" t="s">
        <v>39</v>
      </c>
      <c r="D180" s="14" t="s">
        <v>40</v>
      </c>
      <c r="E180" s="19">
        <v>116.0</v>
      </c>
      <c r="F180" s="28">
        <f t="shared" si="44"/>
        <v>7217520</v>
      </c>
      <c r="G180" s="17">
        <v>1020.0</v>
      </c>
      <c r="H180" s="17">
        <f t="shared" si="45"/>
        <v>118320</v>
      </c>
    </row>
    <row r="181" ht="14.25" customHeight="1">
      <c r="A181" s="14">
        <v>308.0</v>
      </c>
      <c r="B181" s="14" t="s">
        <v>26</v>
      </c>
      <c r="C181" s="14" t="s">
        <v>44</v>
      </c>
      <c r="D181" s="14" t="s">
        <v>20</v>
      </c>
      <c r="E181" s="19">
        <v>84.0</v>
      </c>
      <c r="F181" s="28">
        <f t="shared" si="44"/>
        <v>5226480</v>
      </c>
      <c r="G181" s="17">
        <v>1020.0</v>
      </c>
      <c r="H181" s="17">
        <f t="shared" si="45"/>
        <v>85680</v>
      </c>
    </row>
    <row r="182" ht="14.25" customHeight="1">
      <c r="A182" s="14">
        <v>311.0</v>
      </c>
      <c r="B182" s="14" t="s">
        <v>26</v>
      </c>
      <c r="C182" s="14" t="s">
        <v>15</v>
      </c>
      <c r="D182" s="14" t="s">
        <v>16</v>
      </c>
      <c r="E182" s="19">
        <v>64.0</v>
      </c>
      <c r="F182" s="28">
        <f t="shared" si="44"/>
        <v>4040640</v>
      </c>
      <c r="G182" s="17">
        <v>1035.0</v>
      </c>
      <c r="H182" s="17">
        <f t="shared" si="45"/>
        <v>66240</v>
      </c>
    </row>
    <row r="183" ht="14.25" customHeight="1">
      <c r="A183" s="14">
        <v>312.0</v>
      </c>
      <c r="B183" s="14" t="s">
        <v>26</v>
      </c>
      <c r="C183" s="14" t="s">
        <v>15</v>
      </c>
      <c r="D183" s="14" t="s">
        <v>16</v>
      </c>
      <c r="E183" s="19">
        <v>61.0</v>
      </c>
      <c r="F183" s="28">
        <f t="shared" si="44"/>
        <v>3795420</v>
      </c>
      <c r="G183" s="17">
        <v>1020.0</v>
      </c>
      <c r="H183" s="17">
        <f t="shared" si="45"/>
        <v>62220</v>
      </c>
    </row>
    <row r="184" ht="14.25" customHeight="1">
      <c r="A184" s="14">
        <v>313.0</v>
      </c>
      <c r="B184" s="14" t="s">
        <v>26</v>
      </c>
      <c r="C184" s="14" t="s">
        <v>15</v>
      </c>
      <c r="D184" s="14" t="s">
        <v>16</v>
      </c>
      <c r="E184" s="19">
        <v>61.0</v>
      </c>
      <c r="F184" s="28" t="str">
        <f>#REF!*61</f>
        <v>#REF!</v>
      </c>
      <c r="G184" s="17">
        <v>1020.0</v>
      </c>
      <c r="H184" s="17">
        <f>E165*G165</f>
        <v>84000</v>
      </c>
    </row>
    <row r="185" ht="14.25" customHeight="1">
      <c r="A185" s="14">
        <v>314.0</v>
      </c>
      <c r="B185" s="14" t="s">
        <v>26</v>
      </c>
      <c r="C185" s="14" t="s">
        <v>15</v>
      </c>
      <c r="D185" s="14" t="s">
        <v>16</v>
      </c>
      <c r="E185" s="19">
        <v>62.0</v>
      </c>
      <c r="F185" s="28">
        <f t="shared" ref="F185:F188" si="46">H185*61</f>
        <v>3914370</v>
      </c>
      <c r="G185" s="17">
        <v>1035.0</v>
      </c>
      <c r="H185" s="17">
        <f t="shared" ref="H185:H191" si="47">E185*G185</f>
        <v>64170</v>
      </c>
    </row>
    <row r="186" ht="14.25" customHeight="1">
      <c r="A186" s="14">
        <v>315.0</v>
      </c>
      <c r="B186" s="14" t="s">
        <v>26</v>
      </c>
      <c r="C186" s="14" t="s">
        <v>15</v>
      </c>
      <c r="D186" s="14" t="s">
        <v>16</v>
      </c>
      <c r="E186" s="19">
        <v>64.0</v>
      </c>
      <c r="F186" s="28">
        <f t="shared" si="46"/>
        <v>4040640</v>
      </c>
      <c r="G186" s="17">
        <v>1035.0</v>
      </c>
      <c r="H186" s="17">
        <f t="shared" si="47"/>
        <v>66240</v>
      </c>
    </row>
    <row r="187" ht="14.25" customHeight="1">
      <c r="A187" s="14">
        <v>316.0</v>
      </c>
      <c r="B187" s="14" t="s">
        <v>26</v>
      </c>
      <c r="C187" s="14" t="s">
        <v>15</v>
      </c>
      <c r="D187" s="14" t="s">
        <v>16</v>
      </c>
      <c r="E187" s="19">
        <v>61.0</v>
      </c>
      <c r="F187" s="28">
        <f t="shared" si="46"/>
        <v>3795420</v>
      </c>
      <c r="G187" s="17">
        <v>1020.0</v>
      </c>
      <c r="H187" s="17">
        <f t="shared" si="47"/>
        <v>62220</v>
      </c>
    </row>
    <row r="188" ht="14.25" customHeight="1">
      <c r="A188" s="42">
        <v>318.0</v>
      </c>
      <c r="B188" s="42" t="s">
        <v>26</v>
      </c>
      <c r="C188" s="42" t="s">
        <v>15</v>
      </c>
      <c r="D188" s="42" t="s">
        <v>16</v>
      </c>
      <c r="E188" s="43">
        <v>52.0</v>
      </c>
      <c r="F188" s="44">
        <f t="shared" si="46"/>
        <v>3235440</v>
      </c>
      <c r="G188" s="40">
        <v>1020.0</v>
      </c>
      <c r="H188" s="40">
        <f t="shared" si="47"/>
        <v>53040</v>
      </c>
    </row>
    <row r="189" ht="14.25" customHeight="1">
      <c r="A189" s="14">
        <v>319.0</v>
      </c>
      <c r="B189" s="14" t="s">
        <v>26</v>
      </c>
      <c r="C189" s="14" t="s">
        <v>44</v>
      </c>
      <c r="D189" s="14" t="s">
        <v>16</v>
      </c>
      <c r="E189" s="19">
        <v>91.0</v>
      </c>
      <c r="F189" s="28">
        <f>H189*59</f>
        <v>4778410</v>
      </c>
      <c r="G189" s="17">
        <v>890.0</v>
      </c>
      <c r="H189" s="17">
        <f t="shared" si="47"/>
        <v>80990</v>
      </c>
    </row>
    <row r="190" ht="14.25" customHeight="1">
      <c r="A190" s="14">
        <v>321.0</v>
      </c>
      <c r="B190" s="14" t="s">
        <v>26</v>
      </c>
      <c r="C190" s="14" t="s">
        <v>15</v>
      </c>
      <c r="D190" s="14" t="s">
        <v>16</v>
      </c>
      <c r="E190" s="19">
        <v>55.0</v>
      </c>
      <c r="F190" s="28">
        <f t="shared" ref="F190:F191" si="48">H190*61</f>
        <v>3422100</v>
      </c>
      <c r="G190" s="17">
        <v>1020.0</v>
      </c>
      <c r="H190" s="17">
        <f t="shared" si="47"/>
        <v>56100</v>
      </c>
    </row>
    <row r="191" ht="14.25" customHeight="1">
      <c r="A191" s="14">
        <v>322.0</v>
      </c>
      <c r="B191" s="14" t="s">
        <v>26</v>
      </c>
      <c r="C191" s="14" t="s">
        <v>15</v>
      </c>
      <c r="D191" s="14" t="s">
        <v>16</v>
      </c>
      <c r="E191" s="19">
        <v>56.0</v>
      </c>
      <c r="F191" s="28">
        <f t="shared" si="48"/>
        <v>3484320</v>
      </c>
      <c r="G191" s="17">
        <v>1020.0</v>
      </c>
      <c r="H191" s="17">
        <f t="shared" si="47"/>
        <v>57120</v>
      </c>
    </row>
    <row r="192" ht="15.0" customHeight="1">
      <c r="A192" s="8" t="s">
        <v>28</v>
      </c>
      <c r="B192" s="2"/>
      <c r="C192" s="2"/>
      <c r="D192" s="2"/>
      <c r="E192" s="2"/>
      <c r="F192" s="2"/>
      <c r="G192" s="2"/>
      <c r="H192" s="3"/>
    </row>
    <row r="193" ht="14.25" customHeight="1">
      <c r="A193" s="5">
        <v>401.0</v>
      </c>
      <c r="B193" s="5" t="s">
        <v>29</v>
      </c>
      <c r="C193" s="5" t="s">
        <v>17</v>
      </c>
      <c r="D193" s="5" t="s">
        <v>16</v>
      </c>
      <c r="E193" s="30">
        <v>38.0</v>
      </c>
      <c r="F193" s="31">
        <f t="shared" ref="F193:F206" si="49">H193*61</f>
        <v>2445490</v>
      </c>
      <c r="G193" s="13">
        <v>1055.0</v>
      </c>
      <c r="H193" s="13">
        <f t="shared" ref="H193:H210" si="50">E193*G193</f>
        <v>40090</v>
      </c>
    </row>
    <row r="194" ht="14.25" customHeight="1">
      <c r="A194" s="5">
        <v>404.0</v>
      </c>
      <c r="B194" s="5" t="s">
        <v>29</v>
      </c>
      <c r="C194" s="5" t="s">
        <v>17</v>
      </c>
      <c r="D194" s="5" t="s">
        <v>16</v>
      </c>
      <c r="E194" s="30">
        <v>38.0</v>
      </c>
      <c r="F194" s="31">
        <f t="shared" si="49"/>
        <v>2445490</v>
      </c>
      <c r="G194" s="13">
        <v>1055.0</v>
      </c>
      <c r="H194" s="13">
        <f t="shared" si="50"/>
        <v>40090</v>
      </c>
      <c r="I194" s="39"/>
    </row>
    <row r="195" ht="14.25" customHeight="1">
      <c r="A195" s="14">
        <v>405.0</v>
      </c>
      <c r="B195" s="14" t="s">
        <v>29</v>
      </c>
      <c r="C195" s="14" t="s">
        <v>15</v>
      </c>
      <c r="D195" s="14" t="s">
        <v>16</v>
      </c>
      <c r="E195" s="19">
        <v>55.0</v>
      </c>
      <c r="F195" s="28">
        <f t="shared" si="49"/>
        <v>3472425</v>
      </c>
      <c r="G195" s="17">
        <v>1035.0</v>
      </c>
      <c r="H195" s="17">
        <f t="shared" si="50"/>
        <v>56925</v>
      </c>
    </row>
    <row r="196" ht="14.25" customHeight="1">
      <c r="A196" s="14">
        <v>406.0</v>
      </c>
      <c r="B196" s="14" t="s">
        <v>29</v>
      </c>
      <c r="C196" s="14" t="s">
        <v>15</v>
      </c>
      <c r="D196" s="14" t="s">
        <v>16</v>
      </c>
      <c r="E196" s="19">
        <v>55.0</v>
      </c>
      <c r="F196" s="28">
        <f t="shared" si="49"/>
        <v>3472425</v>
      </c>
      <c r="G196" s="17">
        <v>1035.0</v>
      </c>
      <c r="H196" s="17">
        <f t="shared" si="50"/>
        <v>56925</v>
      </c>
    </row>
    <row r="197" ht="14.25" customHeight="1">
      <c r="A197" s="14">
        <v>407.0</v>
      </c>
      <c r="B197" s="14" t="s">
        <v>29</v>
      </c>
      <c r="C197" s="14" t="s">
        <v>39</v>
      </c>
      <c r="D197" s="14" t="s">
        <v>40</v>
      </c>
      <c r="E197" s="19">
        <v>116.0</v>
      </c>
      <c r="F197" s="28">
        <f t="shared" si="49"/>
        <v>7323660</v>
      </c>
      <c r="G197" s="17">
        <v>1035.0</v>
      </c>
      <c r="H197" s="17">
        <f t="shared" si="50"/>
        <v>120060</v>
      </c>
    </row>
    <row r="198" ht="14.25" customHeight="1">
      <c r="A198" s="14">
        <v>408.0</v>
      </c>
      <c r="B198" s="14" t="s">
        <v>29</v>
      </c>
      <c r="C198" s="14" t="s">
        <v>44</v>
      </c>
      <c r="D198" s="14" t="s">
        <v>20</v>
      </c>
      <c r="E198" s="19">
        <v>84.0</v>
      </c>
      <c r="F198" s="28">
        <f t="shared" si="49"/>
        <v>5303340</v>
      </c>
      <c r="G198" s="17">
        <v>1035.0</v>
      </c>
      <c r="H198" s="17">
        <f t="shared" si="50"/>
        <v>86940</v>
      </c>
    </row>
    <row r="199" ht="14.25" customHeight="1">
      <c r="A199" s="14">
        <v>411.0</v>
      </c>
      <c r="B199" s="14" t="s">
        <v>29</v>
      </c>
      <c r="C199" s="14" t="s">
        <v>15</v>
      </c>
      <c r="D199" s="14" t="s">
        <v>16</v>
      </c>
      <c r="E199" s="19">
        <v>64.0</v>
      </c>
      <c r="F199" s="28">
        <f t="shared" si="49"/>
        <v>4118720</v>
      </c>
      <c r="G199" s="17">
        <v>1055.0</v>
      </c>
      <c r="H199" s="17">
        <f t="shared" si="50"/>
        <v>67520</v>
      </c>
    </row>
    <row r="200" ht="14.25" customHeight="1">
      <c r="A200" s="14">
        <v>412.0</v>
      </c>
      <c r="B200" s="14" t="s">
        <v>29</v>
      </c>
      <c r="C200" s="14" t="s">
        <v>15</v>
      </c>
      <c r="D200" s="14" t="s">
        <v>16</v>
      </c>
      <c r="E200" s="19">
        <v>61.0</v>
      </c>
      <c r="F200" s="28">
        <f t="shared" si="49"/>
        <v>3851235</v>
      </c>
      <c r="G200" s="17">
        <v>1035.0</v>
      </c>
      <c r="H200" s="17">
        <f t="shared" si="50"/>
        <v>63135</v>
      </c>
    </row>
    <row r="201" ht="14.25" customHeight="1">
      <c r="A201" s="14">
        <v>413.0</v>
      </c>
      <c r="B201" s="14" t="s">
        <v>29</v>
      </c>
      <c r="C201" s="14" t="s">
        <v>15</v>
      </c>
      <c r="D201" s="14" t="s">
        <v>16</v>
      </c>
      <c r="E201" s="19">
        <v>61.0</v>
      </c>
      <c r="F201" s="28">
        <f t="shared" si="49"/>
        <v>3851235</v>
      </c>
      <c r="G201" s="17">
        <v>1035.0</v>
      </c>
      <c r="H201" s="17">
        <f t="shared" si="50"/>
        <v>63135</v>
      </c>
    </row>
    <row r="202" ht="14.25" customHeight="1">
      <c r="A202" s="14">
        <v>414.0</v>
      </c>
      <c r="B202" s="14" t="s">
        <v>29</v>
      </c>
      <c r="C202" s="14" t="s">
        <v>15</v>
      </c>
      <c r="D202" s="14" t="s">
        <v>16</v>
      </c>
      <c r="E202" s="19">
        <v>62.0</v>
      </c>
      <c r="F202" s="28">
        <f t="shared" si="49"/>
        <v>3990010</v>
      </c>
      <c r="G202" s="17">
        <v>1055.0</v>
      </c>
      <c r="H202" s="17">
        <f t="shared" si="50"/>
        <v>65410</v>
      </c>
    </row>
    <row r="203" ht="14.25" customHeight="1">
      <c r="A203" s="14">
        <v>415.0</v>
      </c>
      <c r="B203" s="14" t="s">
        <v>29</v>
      </c>
      <c r="C203" s="14" t="s">
        <v>15</v>
      </c>
      <c r="D203" s="14" t="s">
        <v>16</v>
      </c>
      <c r="E203" s="19">
        <v>64.0</v>
      </c>
      <c r="F203" s="28">
        <f t="shared" si="49"/>
        <v>4118720</v>
      </c>
      <c r="G203" s="17">
        <v>1055.0</v>
      </c>
      <c r="H203" s="17">
        <f t="shared" si="50"/>
        <v>67520</v>
      </c>
    </row>
    <row r="204" ht="14.25" customHeight="1">
      <c r="A204" s="14">
        <v>416.0</v>
      </c>
      <c r="B204" s="14" t="s">
        <v>29</v>
      </c>
      <c r="C204" s="14" t="s">
        <v>15</v>
      </c>
      <c r="D204" s="14" t="s">
        <v>16</v>
      </c>
      <c r="E204" s="19">
        <v>61.0</v>
      </c>
      <c r="F204" s="28">
        <f t="shared" si="49"/>
        <v>3851235</v>
      </c>
      <c r="G204" s="17">
        <v>1035.0</v>
      </c>
      <c r="H204" s="17">
        <f t="shared" si="50"/>
        <v>63135</v>
      </c>
    </row>
    <row r="205" ht="14.25" customHeight="1">
      <c r="A205" s="6">
        <v>417.0</v>
      </c>
      <c r="B205" s="6" t="s">
        <v>29</v>
      </c>
      <c r="C205" s="6" t="s">
        <v>15</v>
      </c>
      <c r="D205" s="6" t="s">
        <v>16</v>
      </c>
      <c r="E205" s="21">
        <v>52.0</v>
      </c>
      <c r="F205" s="22">
        <f t="shared" si="49"/>
        <v>3283020</v>
      </c>
      <c r="G205" s="23">
        <v>1035.0</v>
      </c>
      <c r="H205" s="23">
        <f t="shared" si="50"/>
        <v>53820</v>
      </c>
    </row>
    <row r="206" ht="14.25" customHeight="1">
      <c r="A206" s="14">
        <v>418.0</v>
      </c>
      <c r="B206" s="14" t="s">
        <v>29</v>
      </c>
      <c r="C206" s="14" t="s">
        <v>15</v>
      </c>
      <c r="D206" s="14" t="s">
        <v>16</v>
      </c>
      <c r="E206" s="19">
        <v>52.0</v>
      </c>
      <c r="F206" s="20">
        <f t="shared" si="49"/>
        <v>3283020</v>
      </c>
      <c r="G206" s="17">
        <v>1035.0</v>
      </c>
      <c r="H206" s="17">
        <f t="shared" si="50"/>
        <v>53820</v>
      </c>
    </row>
    <row r="207" ht="14.25" customHeight="1">
      <c r="A207" s="14">
        <v>419.0</v>
      </c>
      <c r="B207" s="14" t="s">
        <v>29</v>
      </c>
      <c r="C207" s="14" t="s">
        <v>44</v>
      </c>
      <c r="D207" s="14" t="s">
        <v>16</v>
      </c>
      <c r="E207" s="19">
        <v>91.0</v>
      </c>
      <c r="F207" s="20">
        <f t="shared" ref="F207:F208" si="51">H207*59</f>
        <v>4885790</v>
      </c>
      <c r="G207" s="17">
        <v>910.0</v>
      </c>
      <c r="H207" s="17">
        <f t="shared" si="50"/>
        <v>82810</v>
      </c>
    </row>
    <row r="208" ht="14.25" customHeight="1">
      <c r="A208" s="42">
        <v>420.0</v>
      </c>
      <c r="B208" s="42" t="s">
        <v>29</v>
      </c>
      <c r="C208" s="42" t="s">
        <v>44</v>
      </c>
      <c r="D208" s="42" t="s">
        <v>16</v>
      </c>
      <c r="E208" s="43">
        <v>91.0</v>
      </c>
      <c r="F208" s="44">
        <f t="shared" si="51"/>
        <v>4885790</v>
      </c>
      <c r="G208" s="17">
        <v>910.0</v>
      </c>
      <c r="H208" s="17">
        <f t="shared" si="50"/>
        <v>82810</v>
      </c>
    </row>
    <row r="209" ht="14.25" customHeight="1">
      <c r="A209" s="14">
        <v>421.0</v>
      </c>
      <c r="B209" s="14" t="s">
        <v>29</v>
      </c>
      <c r="C209" s="14" t="s">
        <v>15</v>
      </c>
      <c r="D209" s="14" t="s">
        <v>16</v>
      </c>
      <c r="E209" s="19">
        <v>55.0</v>
      </c>
      <c r="F209" s="20">
        <f t="shared" ref="F209:F210" si="52">H209*61</f>
        <v>3472425</v>
      </c>
      <c r="G209" s="17">
        <v>1035.0</v>
      </c>
      <c r="H209" s="17">
        <f t="shared" si="50"/>
        <v>56925</v>
      </c>
    </row>
    <row r="210" ht="14.25" customHeight="1">
      <c r="A210" s="14">
        <v>422.0</v>
      </c>
      <c r="B210" s="14" t="s">
        <v>29</v>
      </c>
      <c r="C210" s="14" t="s">
        <v>15</v>
      </c>
      <c r="D210" s="14" t="s">
        <v>16</v>
      </c>
      <c r="E210" s="19">
        <v>56.0</v>
      </c>
      <c r="F210" s="28">
        <f t="shared" si="52"/>
        <v>3535560</v>
      </c>
      <c r="G210" s="17">
        <v>1035.0</v>
      </c>
      <c r="H210" s="17">
        <f t="shared" si="50"/>
        <v>57960</v>
      </c>
    </row>
    <row r="211" ht="46.5" customHeight="1">
      <c r="A211" s="45" t="s">
        <v>1</v>
      </c>
      <c r="B211" s="46" t="s">
        <v>2</v>
      </c>
      <c r="C211" s="47" t="s">
        <v>3</v>
      </c>
      <c r="D211" s="48" t="s">
        <v>45</v>
      </c>
      <c r="E211" s="2"/>
      <c r="F211" s="2"/>
      <c r="G211" s="2"/>
      <c r="H211" s="3"/>
    </row>
    <row r="212" ht="14.25" customHeight="1">
      <c r="A212" s="46" t="s">
        <v>5</v>
      </c>
      <c r="B212" s="46" t="s">
        <v>6</v>
      </c>
      <c r="C212" s="46" t="s">
        <v>7</v>
      </c>
      <c r="D212" s="46" t="s">
        <v>8</v>
      </c>
      <c r="E212" s="46" t="s">
        <v>9</v>
      </c>
      <c r="F212" s="49" t="s">
        <v>10</v>
      </c>
      <c r="G212" s="46" t="s">
        <v>43</v>
      </c>
      <c r="H212" s="46" t="s">
        <v>12</v>
      </c>
    </row>
    <row r="213" ht="14.25" customHeight="1">
      <c r="A213" s="50" t="s">
        <v>13</v>
      </c>
      <c r="B213" s="2"/>
      <c r="C213" s="2"/>
      <c r="D213" s="2"/>
      <c r="E213" s="2"/>
      <c r="F213" s="2"/>
      <c r="G213" s="2"/>
      <c r="H213" s="3"/>
    </row>
    <row r="214" ht="14.25" customHeight="1">
      <c r="A214" s="51">
        <v>101.0</v>
      </c>
      <c r="B214" s="51" t="s">
        <v>14</v>
      </c>
      <c r="C214" s="52" t="s">
        <v>46</v>
      </c>
      <c r="D214" s="51" t="s">
        <v>34</v>
      </c>
      <c r="E214" s="53">
        <v>128.0</v>
      </c>
      <c r="F214" s="54">
        <f t="shared" ref="F214:F215" si="53">H214*58</f>
        <v>6347520</v>
      </c>
      <c r="G214" s="55">
        <v>855.0</v>
      </c>
      <c r="H214" s="55">
        <f t="shared" ref="H214:H223" si="54">E214*G214</f>
        <v>109440</v>
      </c>
    </row>
    <row r="215" ht="14.25" customHeight="1">
      <c r="A215" s="56">
        <v>102.0</v>
      </c>
      <c r="B215" s="56" t="s">
        <v>14</v>
      </c>
      <c r="C215" s="57" t="s">
        <v>46</v>
      </c>
      <c r="D215" s="56" t="s">
        <v>34</v>
      </c>
      <c r="E215" s="58">
        <v>116.0</v>
      </c>
      <c r="F215" s="59">
        <f t="shared" si="53"/>
        <v>5752440</v>
      </c>
      <c r="G215" s="60">
        <v>855.0</v>
      </c>
      <c r="H215" s="60">
        <f t="shared" si="54"/>
        <v>99180</v>
      </c>
    </row>
    <row r="216" ht="14.25" customHeight="1">
      <c r="A216" s="51">
        <v>103.0</v>
      </c>
      <c r="B216" s="51" t="s">
        <v>14</v>
      </c>
      <c r="C216" s="51" t="s">
        <v>18</v>
      </c>
      <c r="D216" s="51" t="s">
        <v>34</v>
      </c>
      <c r="E216" s="53">
        <v>88.0</v>
      </c>
      <c r="F216" s="54">
        <f>H216*60</f>
        <v>4514400</v>
      </c>
      <c r="G216" s="55">
        <v>855.0</v>
      </c>
      <c r="H216" s="55">
        <f t="shared" si="54"/>
        <v>75240</v>
      </c>
    </row>
    <row r="217" ht="14.25" customHeight="1">
      <c r="A217" s="61">
        <v>104.0</v>
      </c>
      <c r="B217" s="61" t="s">
        <v>14</v>
      </c>
      <c r="C217" s="61" t="s">
        <v>18</v>
      </c>
      <c r="D217" s="61" t="s">
        <v>16</v>
      </c>
      <c r="E217" s="62">
        <v>99.0</v>
      </c>
      <c r="F217" s="63">
        <f>H217*59</f>
        <v>4877235</v>
      </c>
      <c r="G217" s="55">
        <v>835.0</v>
      </c>
      <c r="H217" s="55">
        <f t="shared" si="54"/>
        <v>82665</v>
      </c>
    </row>
    <row r="218" ht="14.25" customHeight="1">
      <c r="A218" s="51">
        <v>106.0</v>
      </c>
      <c r="B218" s="51" t="s">
        <v>14</v>
      </c>
      <c r="C218" s="51" t="s">
        <v>15</v>
      </c>
      <c r="D218" s="51" t="s">
        <v>16</v>
      </c>
      <c r="E218" s="53">
        <v>62.0</v>
      </c>
      <c r="F218" s="54">
        <f>H218*61</f>
        <v>3706360</v>
      </c>
      <c r="G218" s="55">
        <v>980.0</v>
      </c>
      <c r="H218" s="55">
        <f t="shared" si="54"/>
        <v>60760</v>
      </c>
    </row>
    <row r="219" ht="14.25" customHeight="1">
      <c r="A219" s="51">
        <v>107.0</v>
      </c>
      <c r="B219" s="51" t="s">
        <v>14</v>
      </c>
      <c r="C219" s="51" t="s">
        <v>18</v>
      </c>
      <c r="D219" s="51" t="s">
        <v>16</v>
      </c>
      <c r="E219" s="53">
        <v>95.0</v>
      </c>
      <c r="F219" s="54">
        <f t="shared" ref="F219:F223" si="55">H219*58</f>
        <v>4600850</v>
      </c>
      <c r="G219" s="55">
        <v>835.0</v>
      </c>
      <c r="H219" s="55">
        <f t="shared" si="54"/>
        <v>79325</v>
      </c>
    </row>
    <row r="220" ht="14.25" customHeight="1">
      <c r="A220" s="51">
        <v>108.0</v>
      </c>
      <c r="B220" s="51" t="s">
        <v>14</v>
      </c>
      <c r="C220" s="51" t="s">
        <v>46</v>
      </c>
      <c r="D220" s="51" t="s">
        <v>34</v>
      </c>
      <c r="E220" s="53">
        <v>150.0</v>
      </c>
      <c r="F220" s="54">
        <f t="shared" si="55"/>
        <v>7438500</v>
      </c>
      <c r="G220" s="55">
        <v>855.0</v>
      </c>
      <c r="H220" s="55">
        <f t="shared" si="54"/>
        <v>128250</v>
      </c>
    </row>
    <row r="221" ht="14.25" customHeight="1">
      <c r="A221" s="51">
        <v>109.0</v>
      </c>
      <c r="B221" s="51" t="s">
        <v>14</v>
      </c>
      <c r="C221" s="52" t="s">
        <v>46</v>
      </c>
      <c r="D221" s="51" t="s">
        <v>34</v>
      </c>
      <c r="E221" s="53">
        <v>133.0</v>
      </c>
      <c r="F221" s="54">
        <f t="shared" si="55"/>
        <v>6595470</v>
      </c>
      <c r="G221" s="55">
        <v>855.0</v>
      </c>
      <c r="H221" s="55">
        <f t="shared" si="54"/>
        <v>113715</v>
      </c>
    </row>
    <row r="222" ht="14.25" customHeight="1">
      <c r="A222" s="51">
        <v>110.0</v>
      </c>
      <c r="B222" s="51" t="s">
        <v>14</v>
      </c>
      <c r="C222" s="52" t="s">
        <v>46</v>
      </c>
      <c r="D222" s="51" t="s">
        <v>34</v>
      </c>
      <c r="E222" s="53">
        <v>133.0</v>
      </c>
      <c r="F222" s="54">
        <f t="shared" si="55"/>
        <v>6595470</v>
      </c>
      <c r="G222" s="55">
        <v>855.0</v>
      </c>
      <c r="H222" s="55">
        <f t="shared" si="54"/>
        <v>113715</v>
      </c>
    </row>
    <row r="223" ht="14.25" customHeight="1">
      <c r="A223" s="51">
        <v>111.0</v>
      </c>
      <c r="B223" s="51" t="s">
        <v>14</v>
      </c>
      <c r="C223" s="52" t="s">
        <v>46</v>
      </c>
      <c r="D223" s="51" t="s">
        <v>34</v>
      </c>
      <c r="E223" s="53">
        <v>118.0</v>
      </c>
      <c r="F223" s="54">
        <f t="shared" si="55"/>
        <v>5851620</v>
      </c>
      <c r="G223" s="55">
        <v>855.0</v>
      </c>
      <c r="H223" s="55">
        <f t="shared" si="54"/>
        <v>100890</v>
      </c>
    </row>
    <row r="224" ht="14.25" customHeight="1">
      <c r="A224" s="50" t="s">
        <v>21</v>
      </c>
      <c r="B224" s="2"/>
      <c r="C224" s="2"/>
      <c r="D224" s="2"/>
      <c r="E224" s="2"/>
      <c r="F224" s="2"/>
      <c r="G224" s="2"/>
      <c r="H224" s="3"/>
    </row>
    <row r="225" ht="14.25" customHeight="1">
      <c r="A225" s="51">
        <v>201.0</v>
      </c>
      <c r="B225" s="51" t="s">
        <v>22</v>
      </c>
      <c r="C225" s="52" t="s">
        <v>46</v>
      </c>
      <c r="D225" s="51" t="s">
        <v>34</v>
      </c>
      <c r="E225" s="53">
        <v>128.0</v>
      </c>
      <c r="F225" s="54">
        <f>H225*58</f>
        <v>6458880</v>
      </c>
      <c r="G225" s="55">
        <v>870.0</v>
      </c>
      <c r="H225" s="55">
        <f>E225*G225</f>
        <v>111360</v>
      </c>
    </row>
    <row r="226" ht="14.25" customHeight="1">
      <c r="A226" s="47">
        <v>203.0</v>
      </c>
      <c r="B226" s="47" t="s">
        <v>22</v>
      </c>
      <c r="C226" s="47" t="s">
        <v>18</v>
      </c>
      <c r="D226" s="47" t="s">
        <v>34</v>
      </c>
      <c r="E226" s="64">
        <v>88.0</v>
      </c>
      <c r="F226" s="65" t="s">
        <v>47</v>
      </c>
      <c r="G226" s="66">
        <v>870.0</v>
      </c>
      <c r="H226" s="66">
        <v>76.665</v>
      </c>
    </row>
    <row r="227" ht="14.25" customHeight="1">
      <c r="A227" s="51">
        <v>206.0</v>
      </c>
      <c r="B227" s="51" t="s">
        <v>22</v>
      </c>
      <c r="C227" s="51" t="s">
        <v>15</v>
      </c>
      <c r="D227" s="51" t="s">
        <v>16</v>
      </c>
      <c r="E227" s="53">
        <v>62.0</v>
      </c>
      <c r="F227" s="54">
        <f>H227*61</f>
        <v>3782000</v>
      </c>
      <c r="G227" s="55">
        <v>1000.0</v>
      </c>
      <c r="H227" s="55">
        <f t="shared" ref="H227:H231" si="56">E227*G227</f>
        <v>62000</v>
      </c>
    </row>
    <row r="228" ht="14.25" customHeight="1">
      <c r="A228" s="51">
        <v>207.0</v>
      </c>
      <c r="B228" s="51" t="s">
        <v>22</v>
      </c>
      <c r="C228" s="51" t="s">
        <v>18</v>
      </c>
      <c r="D228" s="51" t="s">
        <v>16</v>
      </c>
      <c r="E228" s="53">
        <v>95.0</v>
      </c>
      <c r="F228" s="54">
        <f t="shared" ref="F228:F231" si="57">H228*58</f>
        <v>4711050</v>
      </c>
      <c r="G228" s="55">
        <v>855.0</v>
      </c>
      <c r="H228" s="55">
        <f t="shared" si="56"/>
        <v>81225</v>
      </c>
    </row>
    <row r="229" ht="14.25" customHeight="1">
      <c r="A229" s="51">
        <v>209.0</v>
      </c>
      <c r="B229" s="51" t="s">
        <v>22</v>
      </c>
      <c r="C229" s="52" t="s">
        <v>46</v>
      </c>
      <c r="D229" s="51" t="s">
        <v>34</v>
      </c>
      <c r="E229" s="53">
        <v>133.0</v>
      </c>
      <c r="F229" s="54">
        <f t="shared" si="57"/>
        <v>6711180</v>
      </c>
      <c r="G229" s="55">
        <v>870.0</v>
      </c>
      <c r="H229" s="55">
        <f t="shared" si="56"/>
        <v>115710</v>
      </c>
    </row>
    <row r="230" ht="14.25" customHeight="1">
      <c r="A230" s="51">
        <v>210.0</v>
      </c>
      <c r="B230" s="51" t="s">
        <v>22</v>
      </c>
      <c r="C230" s="52" t="s">
        <v>46</v>
      </c>
      <c r="D230" s="51" t="s">
        <v>34</v>
      </c>
      <c r="E230" s="53">
        <v>133.0</v>
      </c>
      <c r="F230" s="54">
        <f t="shared" si="57"/>
        <v>6711180</v>
      </c>
      <c r="G230" s="55">
        <v>870.0</v>
      </c>
      <c r="H230" s="55">
        <f t="shared" si="56"/>
        <v>115710</v>
      </c>
    </row>
    <row r="231" ht="14.25" customHeight="1">
      <c r="A231" s="51">
        <v>211.0</v>
      </c>
      <c r="B231" s="51" t="s">
        <v>22</v>
      </c>
      <c r="C231" s="52" t="s">
        <v>46</v>
      </c>
      <c r="D231" s="51" t="s">
        <v>34</v>
      </c>
      <c r="E231" s="53">
        <v>118.0</v>
      </c>
      <c r="F231" s="54">
        <f t="shared" si="57"/>
        <v>5954280</v>
      </c>
      <c r="G231" s="55">
        <v>870.0</v>
      </c>
      <c r="H231" s="55">
        <f t="shared" si="56"/>
        <v>102660</v>
      </c>
    </row>
    <row r="232" ht="14.25" customHeight="1">
      <c r="A232" s="50" t="s">
        <v>25</v>
      </c>
      <c r="B232" s="2"/>
      <c r="C232" s="2"/>
      <c r="D232" s="2"/>
      <c r="E232" s="2"/>
      <c r="F232" s="2"/>
      <c r="G232" s="2"/>
      <c r="H232" s="3"/>
    </row>
    <row r="233" ht="14.25" customHeight="1">
      <c r="A233" s="47">
        <v>305.0</v>
      </c>
      <c r="B233" s="47" t="s">
        <v>26</v>
      </c>
      <c r="C233" s="47" t="s">
        <v>15</v>
      </c>
      <c r="D233" s="47" t="s">
        <v>16</v>
      </c>
      <c r="E233" s="64">
        <v>66.0</v>
      </c>
      <c r="F233" s="65">
        <f t="shared" ref="F233:F234" si="58">H233*61</f>
        <v>4166910</v>
      </c>
      <c r="G233" s="66">
        <v>1035.0</v>
      </c>
      <c r="H233" s="66">
        <f t="shared" ref="H233:H237" si="59">E233*G233</f>
        <v>68310</v>
      </c>
    </row>
    <row r="234" ht="14.25" customHeight="1">
      <c r="A234" s="51">
        <v>306.0</v>
      </c>
      <c r="B234" s="51" t="s">
        <v>26</v>
      </c>
      <c r="C234" s="51" t="s">
        <v>15</v>
      </c>
      <c r="D234" s="51" t="s">
        <v>16</v>
      </c>
      <c r="E234" s="53">
        <v>62.0</v>
      </c>
      <c r="F234" s="59">
        <f t="shared" si="58"/>
        <v>3857640</v>
      </c>
      <c r="G234" s="55">
        <v>1020.0</v>
      </c>
      <c r="H234" s="55">
        <f t="shared" si="59"/>
        <v>63240</v>
      </c>
    </row>
    <row r="235" ht="14.25" customHeight="1">
      <c r="A235" s="51">
        <v>307.0</v>
      </c>
      <c r="B235" s="51" t="s">
        <v>26</v>
      </c>
      <c r="C235" s="51" t="s">
        <v>18</v>
      </c>
      <c r="D235" s="51" t="s">
        <v>16</v>
      </c>
      <c r="E235" s="53">
        <v>95.0</v>
      </c>
      <c r="F235" s="59">
        <f t="shared" ref="F235:F237" si="60">H235*58</f>
        <v>4793700</v>
      </c>
      <c r="G235" s="55">
        <v>870.0</v>
      </c>
      <c r="H235" s="55">
        <f t="shared" si="59"/>
        <v>82650</v>
      </c>
    </row>
    <row r="236" ht="14.25" customHeight="1">
      <c r="A236" s="51">
        <v>309.0</v>
      </c>
      <c r="B236" s="51" t="s">
        <v>26</v>
      </c>
      <c r="C236" s="52" t="s">
        <v>46</v>
      </c>
      <c r="D236" s="51" t="s">
        <v>34</v>
      </c>
      <c r="E236" s="53">
        <v>133.0</v>
      </c>
      <c r="F236" s="59">
        <f t="shared" si="60"/>
        <v>6865460</v>
      </c>
      <c r="G236" s="55">
        <v>890.0</v>
      </c>
      <c r="H236" s="55">
        <f t="shared" si="59"/>
        <v>118370</v>
      </c>
    </row>
    <row r="237" ht="14.25" customHeight="1">
      <c r="A237" s="51">
        <v>311.0</v>
      </c>
      <c r="B237" s="51" t="s">
        <v>26</v>
      </c>
      <c r="C237" s="52" t="s">
        <v>46</v>
      </c>
      <c r="D237" s="51" t="s">
        <v>34</v>
      </c>
      <c r="E237" s="53">
        <v>118.0</v>
      </c>
      <c r="F237" s="59">
        <f t="shared" si="60"/>
        <v>6091160</v>
      </c>
      <c r="G237" s="55">
        <v>890.0</v>
      </c>
      <c r="H237" s="55">
        <f t="shared" si="59"/>
        <v>105020</v>
      </c>
    </row>
    <row r="238" ht="14.25" customHeight="1">
      <c r="A238" s="50" t="s">
        <v>28</v>
      </c>
      <c r="B238" s="2"/>
      <c r="C238" s="2"/>
      <c r="D238" s="2"/>
      <c r="E238" s="2"/>
      <c r="F238" s="2"/>
      <c r="G238" s="2"/>
      <c r="H238" s="3"/>
    </row>
    <row r="239" ht="14.25" customHeight="1">
      <c r="A239" s="51">
        <v>401.0</v>
      </c>
      <c r="B239" s="51" t="s">
        <v>29</v>
      </c>
      <c r="C239" s="52" t="s">
        <v>46</v>
      </c>
      <c r="D239" s="51" t="s">
        <v>34</v>
      </c>
      <c r="E239" s="53">
        <v>128.0</v>
      </c>
      <c r="F239" s="54">
        <f t="shared" ref="F239:F241" si="61">H239*58</f>
        <v>6755840</v>
      </c>
      <c r="G239" s="55">
        <v>910.0</v>
      </c>
      <c r="H239" s="55">
        <f t="shared" ref="H239:H247" si="62">E239*G239</f>
        <v>116480</v>
      </c>
    </row>
    <row r="240" ht="14.25" customHeight="1">
      <c r="A240" s="51">
        <v>402.0</v>
      </c>
      <c r="B240" s="51" t="s">
        <v>29</v>
      </c>
      <c r="C240" s="52" t="s">
        <v>46</v>
      </c>
      <c r="D240" s="51" t="s">
        <v>34</v>
      </c>
      <c r="E240" s="53">
        <v>116.0</v>
      </c>
      <c r="F240" s="54">
        <f t="shared" si="61"/>
        <v>6122480</v>
      </c>
      <c r="G240" s="55">
        <v>910.0</v>
      </c>
      <c r="H240" s="55">
        <f t="shared" si="62"/>
        <v>105560</v>
      </c>
    </row>
    <row r="241" ht="14.25" customHeight="1">
      <c r="A241" s="51">
        <v>404.0</v>
      </c>
      <c r="B241" s="51" t="s">
        <v>29</v>
      </c>
      <c r="C241" s="51" t="s">
        <v>18</v>
      </c>
      <c r="D241" s="51" t="s">
        <v>16</v>
      </c>
      <c r="E241" s="53">
        <v>99.0</v>
      </c>
      <c r="F241" s="54">
        <f t="shared" si="61"/>
        <v>5110380</v>
      </c>
      <c r="G241" s="55">
        <v>890.0</v>
      </c>
      <c r="H241" s="55">
        <f t="shared" si="62"/>
        <v>88110</v>
      </c>
    </row>
    <row r="242" ht="14.25" customHeight="1">
      <c r="A242" s="51">
        <v>405.0</v>
      </c>
      <c r="B242" s="51" t="s">
        <v>29</v>
      </c>
      <c r="C242" s="51" t="s">
        <v>15</v>
      </c>
      <c r="D242" s="51" t="s">
        <v>16</v>
      </c>
      <c r="E242" s="53">
        <v>66.0</v>
      </c>
      <c r="F242" s="54">
        <f t="shared" ref="F242:F243" si="63">H242*61</f>
        <v>4247430</v>
      </c>
      <c r="G242" s="55">
        <v>1055.0</v>
      </c>
      <c r="H242" s="55">
        <f t="shared" si="62"/>
        <v>69630</v>
      </c>
    </row>
    <row r="243" ht="14.25" customHeight="1">
      <c r="A243" s="51">
        <v>406.0</v>
      </c>
      <c r="B243" s="51" t="s">
        <v>29</v>
      </c>
      <c r="C243" s="51" t="s">
        <v>15</v>
      </c>
      <c r="D243" s="51" t="s">
        <v>16</v>
      </c>
      <c r="E243" s="53">
        <v>62.0</v>
      </c>
      <c r="F243" s="54">
        <f t="shared" si="63"/>
        <v>3914370</v>
      </c>
      <c r="G243" s="55">
        <v>1035.0</v>
      </c>
      <c r="H243" s="55">
        <f t="shared" si="62"/>
        <v>64170</v>
      </c>
    </row>
    <row r="244" ht="14.25" customHeight="1">
      <c r="A244" s="51">
        <v>407.0</v>
      </c>
      <c r="B244" s="51" t="s">
        <v>29</v>
      </c>
      <c r="C244" s="51" t="s">
        <v>18</v>
      </c>
      <c r="D244" s="51" t="s">
        <v>16</v>
      </c>
      <c r="E244" s="53">
        <v>95.0</v>
      </c>
      <c r="F244" s="54">
        <f t="shared" ref="F244:F247" si="64">H244*58</f>
        <v>4903900</v>
      </c>
      <c r="G244" s="55">
        <v>890.0</v>
      </c>
      <c r="H244" s="55">
        <f t="shared" si="62"/>
        <v>84550</v>
      </c>
    </row>
    <row r="245" ht="14.25" customHeight="1">
      <c r="A245" s="51">
        <v>409.0</v>
      </c>
      <c r="B245" s="51" t="s">
        <v>29</v>
      </c>
      <c r="C245" s="52" t="s">
        <v>46</v>
      </c>
      <c r="D245" s="51" t="s">
        <v>34</v>
      </c>
      <c r="E245" s="53">
        <v>133.0</v>
      </c>
      <c r="F245" s="54">
        <f t="shared" si="64"/>
        <v>7019740</v>
      </c>
      <c r="G245" s="55">
        <v>910.0</v>
      </c>
      <c r="H245" s="55">
        <f t="shared" si="62"/>
        <v>121030</v>
      </c>
    </row>
    <row r="246" ht="14.25" customHeight="1">
      <c r="A246" s="51">
        <v>410.0</v>
      </c>
      <c r="B246" s="51" t="s">
        <v>29</v>
      </c>
      <c r="C246" s="52" t="s">
        <v>46</v>
      </c>
      <c r="D246" s="51" t="s">
        <v>34</v>
      </c>
      <c r="E246" s="53">
        <v>133.0</v>
      </c>
      <c r="F246" s="54">
        <f t="shared" si="64"/>
        <v>7019740</v>
      </c>
      <c r="G246" s="55">
        <v>910.0</v>
      </c>
      <c r="H246" s="55">
        <f t="shared" si="62"/>
        <v>121030</v>
      </c>
    </row>
    <row r="247" ht="14.25" customHeight="1">
      <c r="A247" s="51">
        <v>411.0</v>
      </c>
      <c r="B247" s="51" t="s">
        <v>29</v>
      </c>
      <c r="C247" s="52" t="s">
        <v>46</v>
      </c>
      <c r="D247" s="51" t="s">
        <v>34</v>
      </c>
      <c r="E247" s="53">
        <v>118.0</v>
      </c>
      <c r="F247" s="54">
        <f t="shared" si="64"/>
        <v>6228040</v>
      </c>
      <c r="G247" s="55">
        <v>910.0</v>
      </c>
      <c r="H247" s="55">
        <f t="shared" si="62"/>
        <v>107380</v>
      </c>
    </row>
    <row r="248" ht="45.0" customHeight="1">
      <c r="A248" s="45" t="s">
        <v>1</v>
      </c>
      <c r="B248" s="46" t="s">
        <v>2</v>
      </c>
      <c r="C248" s="47" t="s">
        <v>3</v>
      </c>
      <c r="D248" s="48" t="s">
        <v>48</v>
      </c>
      <c r="E248" s="2"/>
      <c r="F248" s="2"/>
      <c r="G248" s="2"/>
      <c r="H248" s="3"/>
    </row>
    <row r="249" ht="14.25" customHeight="1">
      <c r="A249" s="46" t="s">
        <v>5</v>
      </c>
      <c r="B249" s="46" t="s">
        <v>6</v>
      </c>
      <c r="C249" s="46" t="s">
        <v>7</v>
      </c>
      <c r="D249" s="46" t="s">
        <v>8</v>
      </c>
      <c r="E249" s="46" t="s">
        <v>9</v>
      </c>
      <c r="F249" s="67" t="s">
        <v>32</v>
      </c>
      <c r="G249" s="46" t="s">
        <v>43</v>
      </c>
      <c r="H249" s="46" t="s">
        <v>12</v>
      </c>
    </row>
    <row r="250" ht="14.25" customHeight="1">
      <c r="A250" s="68" t="s">
        <v>13</v>
      </c>
      <c r="B250" s="2"/>
      <c r="C250" s="2"/>
      <c r="D250" s="2"/>
      <c r="E250" s="2"/>
      <c r="F250" s="2"/>
      <c r="G250" s="2"/>
      <c r="H250" s="3"/>
    </row>
    <row r="251" ht="14.25" customHeight="1">
      <c r="A251" s="51">
        <v>101.0</v>
      </c>
      <c r="B251" s="51" t="s">
        <v>14</v>
      </c>
      <c r="C251" s="52" t="s">
        <v>49</v>
      </c>
      <c r="D251" s="51" t="s">
        <v>16</v>
      </c>
      <c r="E251" s="69">
        <v>42.0</v>
      </c>
      <c r="F251" s="70">
        <f t="shared" ref="F251:F254" si="65">H251*61</f>
        <v>2562000</v>
      </c>
      <c r="G251" s="55">
        <v>1000.0</v>
      </c>
      <c r="H251" s="55">
        <f t="shared" ref="H251:H259" si="66">E251*G251</f>
        <v>42000</v>
      </c>
    </row>
    <row r="252" ht="14.25" customHeight="1">
      <c r="A252" s="51">
        <v>102.0</v>
      </c>
      <c r="B252" s="51" t="s">
        <v>14</v>
      </c>
      <c r="C252" s="51" t="s">
        <v>15</v>
      </c>
      <c r="D252" s="51" t="s">
        <v>16</v>
      </c>
      <c r="E252" s="69">
        <v>59.0</v>
      </c>
      <c r="F252" s="70">
        <f t="shared" si="65"/>
        <v>3527020</v>
      </c>
      <c r="G252" s="55">
        <v>980.0</v>
      </c>
      <c r="H252" s="55">
        <f t="shared" si="66"/>
        <v>57820</v>
      </c>
    </row>
    <row r="253" ht="14.25" customHeight="1">
      <c r="A253" s="47">
        <v>104.0</v>
      </c>
      <c r="B253" s="47" t="s">
        <v>14</v>
      </c>
      <c r="C253" s="47" t="s">
        <v>15</v>
      </c>
      <c r="D253" s="47" t="s">
        <v>16</v>
      </c>
      <c r="E253" s="71">
        <v>63.0</v>
      </c>
      <c r="F253" s="72">
        <f t="shared" si="65"/>
        <v>3843000</v>
      </c>
      <c r="G253" s="66">
        <v>1000.0</v>
      </c>
      <c r="H253" s="66">
        <f t="shared" si="66"/>
        <v>63000</v>
      </c>
    </row>
    <row r="254" ht="14.25" customHeight="1">
      <c r="A254" s="51">
        <v>105.0</v>
      </c>
      <c r="B254" s="51" t="s">
        <v>14</v>
      </c>
      <c r="C254" s="51" t="s">
        <v>15</v>
      </c>
      <c r="D254" s="51" t="s">
        <v>16</v>
      </c>
      <c r="E254" s="69">
        <v>59.0</v>
      </c>
      <c r="F254" s="70">
        <f t="shared" si="65"/>
        <v>3527020</v>
      </c>
      <c r="G254" s="55">
        <v>980.0</v>
      </c>
      <c r="H254" s="55">
        <f t="shared" si="66"/>
        <v>57820</v>
      </c>
    </row>
    <row r="255" ht="14.25" customHeight="1">
      <c r="A255" s="51">
        <v>106.0</v>
      </c>
      <c r="B255" s="51" t="s">
        <v>14</v>
      </c>
      <c r="C255" s="51" t="s">
        <v>18</v>
      </c>
      <c r="D255" s="51" t="s">
        <v>16</v>
      </c>
      <c r="E255" s="69">
        <v>102.0</v>
      </c>
      <c r="F255" s="70">
        <f>H255*58</f>
        <v>4939860</v>
      </c>
      <c r="G255" s="55">
        <v>835.0</v>
      </c>
      <c r="H255" s="55">
        <f t="shared" si="66"/>
        <v>85170</v>
      </c>
    </row>
    <row r="256" ht="14.25" customHeight="1">
      <c r="A256" s="51">
        <v>107.0</v>
      </c>
      <c r="B256" s="51" t="s">
        <v>14</v>
      </c>
      <c r="C256" s="52" t="s">
        <v>46</v>
      </c>
      <c r="D256" s="51" t="s">
        <v>24</v>
      </c>
      <c r="E256" s="69">
        <v>91.0</v>
      </c>
      <c r="F256" s="70">
        <f t="shared" ref="F256:F259" si="67">H256*61</f>
        <v>5551000</v>
      </c>
      <c r="G256" s="55">
        <v>1000.0</v>
      </c>
      <c r="H256" s="55">
        <f t="shared" si="66"/>
        <v>91000</v>
      </c>
    </row>
    <row r="257" ht="14.25" customHeight="1">
      <c r="A257" s="51">
        <v>108.0</v>
      </c>
      <c r="B257" s="51" t="s">
        <v>14</v>
      </c>
      <c r="C257" s="52" t="s">
        <v>46</v>
      </c>
      <c r="D257" s="51" t="s">
        <v>41</v>
      </c>
      <c r="E257" s="69">
        <v>106.0</v>
      </c>
      <c r="F257" s="70">
        <f t="shared" si="67"/>
        <v>6466000</v>
      </c>
      <c r="G257" s="55">
        <v>1000.0</v>
      </c>
      <c r="H257" s="55">
        <f t="shared" si="66"/>
        <v>106000</v>
      </c>
    </row>
    <row r="258" ht="14.25" customHeight="1">
      <c r="A258" s="51">
        <v>109.0</v>
      </c>
      <c r="B258" s="51" t="s">
        <v>14</v>
      </c>
      <c r="C258" s="51" t="s">
        <v>15</v>
      </c>
      <c r="D258" s="51" t="s">
        <v>16</v>
      </c>
      <c r="E258" s="69">
        <v>59.0</v>
      </c>
      <c r="F258" s="70">
        <f t="shared" si="67"/>
        <v>3527020</v>
      </c>
      <c r="G258" s="55">
        <v>980.0</v>
      </c>
      <c r="H258" s="55">
        <f t="shared" si="66"/>
        <v>57820</v>
      </c>
    </row>
    <row r="259" ht="14.25" customHeight="1">
      <c r="A259" s="61">
        <v>110.0</v>
      </c>
      <c r="B259" s="61" t="s">
        <v>14</v>
      </c>
      <c r="C259" s="61" t="s">
        <v>15</v>
      </c>
      <c r="D259" s="61" t="s">
        <v>16</v>
      </c>
      <c r="E259" s="73">
        <v>63.0</v>
      </c>
      <c r="F259" s="74">
        <f t="shared" si="67"/>
        <v>3843000</v>
      </c>
      <c r="G259" s="55">
        <v>1000.0</v>
      </c>
      <c r="H259" s="55">
        <f t="shared" si="66"/>
        <v>63000</v>
      </c>
    </row>
    <row r="260" ht="14.25" customHeight="1">
      <c r="A260" s="50" t="s">
        <v>21</v>
      </c>
      <c r="B260" s="2"/>
      <c r="C260" s="2"/>
      <c r="D260" s="2"/>
      <c r="E260" s="2"/>
      <c r="F260" s="2"/>
      <c r="G260" s="2"/>
      <c r="H260" s="3"/>
    </row>
    <row r="261" ht="14.25" customHeight="1">
      <c r="A261" s="51">
        <v>201.0</v>
      </c>
      <c r="B261" s="51" t="s">
        <v>22</v>
      </c>
      <c r="C261" s="52" t="s">
        <v>49</v>
      </c>
      <c r="D261" s="51" t="s">
        <v>16</v>
      </c>
      <c r="E261" s="69">
        <v>42.0</v>
      </c>
      <c r="F261" s="70">
        <f t="shared" ref="F261:F265" si="68">H261*61</f>
        <v>2613240</v>
      </c>
      <c r="G261" s="55">
        <v>1020.0</v>
      </c>
      <c r="H261" s="55">
        <f t="shared" ref="H261:H270" si="69">E261*G261</f>
        <v>42840</v>
      </c>
    </row>
    <row r="262" ht="14.25" customHeight="1">
      <c r="A262" s="51">
        <v>202.0</v>
      </c>
      <c r="B262" s="51" t="s">
        <v>22</v>
      </c>
      <c r="C262" s="51" t="s">
        <v>15</v>
      </c>
      <c r="D262" s="51" t="s">
        <v>16</v>
      </c>
      <c r="E262" s="69">
        <v>59.0</v>
      </c>
      <c r="F262" s="70">
        <f t="shared" si="68"/>
        <v>3599000</v>
      </c>
      <c r="G262" s="55">
        <v>1000.0</v>
      </c>
      <c r="H262" s="55">
        <f t="shared" si="69"/>
        <v>59000</v>
      </c>
    </row>
    <row r="263" ht="14.25" customHeight="1">
      <c r="A263" s="51">
        <v>203.0</v>
      </c>
      <c r="B263" s="51" t="s">
        <v>22</v>
      </c>
      <c r="C263" s="51" t="s">
        <v>15</v>
      </c>
      <c r="D263" s="51" t="s">
        <v>16</v>
      </c>
      <c r="E263" s="69">
        <v>63.0</v>
      </c>
      <c r="F263" s="70">
        <f t="shared" si="68"/>
        <v>3919860</v>
      </c>
      <c r="G263" s="75">
        <v>1020.0</v>
      </c>
      <c r="H263" s="75">
        <f t="shared" si="69"/>
        <v>64260</v>
      </c>
    </row>
    <row r="264" ht="14.25" customHeight="1">
      <c r="A264" s="51">
        <v>204.0</v>
      </c>
      <c r="B264" s="51" t="s">
        <v>22</v>
      </c>
      <c r="C264" s="51" t="s">
        <v>15</v>
      </c>
      <c r="D264" s="51" t="s">
        <v>16</v>
      </c>
      <c r="E264" s="69">
        <v>63.0</v>
      </c>
      <c r="F264" s="70">
        <f t="shared" si="68"/>
        <v>3919860</v>
      </c>
      <c r="G264" s="75">
        <v>1020.0</v>
      </c>
      <c r="H264" s="75">
        <f t="shared" si="69"/>
        <v>64260</v>
      </c>
    </row>
    <row r="265" ht="14.25" customHeight="1">
      <c r="A265" s="51">
        <v>205.0</v>
      </c>
      <c r="B265" s="51" t="s">
        <v>22</v>
      </c>
      <c r="C265" s="51" t="s">
        <v>15</v>
      </c>
      <c r="D265" s="51" t="s">
        <v>16</v>
      </c>
      <c r="E265" s="69">
        <v>59.0</v>
      </c>
      <c r="F265" s="70">
        <f t="shared" si="68"/>
        <v>3599000</v>
      </c>
      <c r="G265" s="55">
        <v>1000.0</v>
      </c>
      <c r="H265" s="55">
        <f t="shared" si="69"/>
        <v>59000</v>
      </c>
    </row>
    <row r="266" ht="14.25" customHeight="1">
      <c r="A266" s="51">
        <v>206.0</v>
      </c>
      <c r="B266" s="51" t="s">
        <v>22</v>
      </c>
      <c r="C266" s="51" t="s">
        <v>18</v>
      </c>
      <c r="D266" s="51" t="s">
        <v>16</v>
      </c>
      <c r="E266" s="69">
        <v>102.0</v>
      </c>
      <c r="F266" s="70">
        <f>H266*58</f>
        <v>5058180</v>
      </c>
      <c r="G266" s="55">
        <v>855.0</v>
      </c>
      <c r="H266" s="55">
        <f t="shared" si="69"/>
        <v>87210</v>
      </c>
    </row>
    <row r="267" ht="14.25" customHeight="1">
      <c r="A267" s="51">
        <v>207.0</v>
      </c>
      <c r="B267" s="51" t="s">
        <v>22</v>
      </c>
      <c r="C267" s="52" t="s">
        <v>46</v>
      </c>
      <c r="D267" s="55"/>
      <c r="E267" s="69">
        <v>91.0</v>
      </c>
      <c r="F267" s="70">
        <f t="shared" ref="F267:F270" si="70">H267*61</f>
        <v>5662020</v>
      </c>
      <c r="G267" s="55">
        <v>1020.0</v>
      </c>
      <c r="H267" s="55">
        <f t="shared" si="69"/>
        <v>92820</v>
      </c>
    </row>
    <row r="268" ht="14.25" customHeight="1">
      <c r="A268" s="51">
        <v>208.0</v>
      </c>
      <c r="B268" s="51" t="s">
        <v>22</v>
      </c>
      <c r="C268" s="52" t="s">
        <v>46</v>
      </c>
      <c r="D268" s="51" t="s">
        <v>24</v>
      </c>
      <c r="E268" s="69">
        <v>106.0</v>
      </c>
      <c r="F268" s="70">
        <f t="shared" si="70"/>
        <v>6595320</v>
      </c>
      <c r="G268" s="55">
        <v>1020.0</v>
      </c>
      <c r="H268" s="55">
        <f t="shared" si="69"/>
        <v>108120</v>
      </c>
    </row>
    <row r="269" ht="14.25" customHeight="1">
      <c r="A269" s="51">
        <v>209.0</v>
      </c>
      <c r="B269" s="51" t="s">
        <v>22</v>
      </c>
      <c r="C269" s="51" t="s">
        <v>15</v>
      </c>
      <c r="D269" s="51" t="s">
        <v>41</v>
      </c>
      <c r="E269" s="69">
        <v>59.0</v>
      </c>
      <c r="F269" s="70">
        <f t="shared" si="70"/>
        <v>3599000</v>
      </c>
      <c r="G269" s="55">
        <v>1000.0</v>
      </c>
      <c r="H269" s="55">
        <f t="shared" si="69"/>
        <v>59000</v>
      </c>
    </row>
    <row r="270" ht="14.25" customHeight="1">
      <c r="A270" s="47">
        <v>211.0</v>
      </c>
      <c r="B270" s="47" t="s">
        <v>22</v>
      </c>
      <c r="C270" s="47" t="s">
        <v>15</v>
      </c>
      <c r="D270" s="47" t="s">
        <v>16</v>
      </c>
      <c r="E270" s="71">
        <v>61.0</v>
      </c>
      <c r="F270" s="72">
        <f t="shared" si="70"/>
        <v>3795420</v>
      </c>
      <c r="G270" s="66">
        <v>1020.0</v>
      </c>
      <c r="H270" s="66">
        <f t="shared" si="69"/>
        <v>62220</v>
      </c>
    </row>
    <row r="271" ht="14.25" customHeight="1">
      <c r="A271" s="50" t="s">
        <v>25</v>
      </c>
      <c r="B271" s="2"/>
      <c r="C271" s="2"/>
      <c r="D271" s="2"/>
      <c r="E271" s="2"/>
      <c r="F271" s="2"/>
      <c r="G271" s="2"/>
      <c r="H271" s="3"/>
    </row>
    <row r="272" ht="14.25" customHeight="1">
      <c r="A272" s="51">
        <v>301.0</v>
      </c>
      <c r="B272" s="51" t="s">
        <v>26</v>
      </c>
      <c r="C272" s="52" t="s">
        <v>49</v>
      </c>
      <c r="D272" s="51" t="s">
        <v>16</v>
      </c>
      <c r="E272" s="69">
        <v>42.0</v>
      </c>
      <c r="F272" s="70">
        <f t="shared" ref="F272:F275" si="71">H272*61</f>
        <v>2651670</v>
      </c>
      <c r="G272" s="55">
        <v>1035.0</v>
      </c>
      <c r="H272" s="55">
        <f t="shared" ref="H272:H281" si="72">E272*G272</f>
        <v>43470</v>
      </c>
    </row>
    <row r="273" ht="14.25" customHeight="1">
      <c r="A273" s="51">
        <v>303.0</v>
      </c>
      <c r="B273" s="51" t="s">
        <v>26</v>
      </c>
      <c r="C273" s="51" t="s">
        <v>15</v>
      </c>
      <c r="D273" s="51" t="s">
        <v>16</v>
      </c>
      <c r="E273" s="69">
        <v>63.0</v>
      </c>
      <c r="F273" s="70">
        <f t="shared" si="71"/>
        <v>3977505</v>
      </c>
      <c r="G273" s="55">
        <v>1035.0</v>
      </c>
      <c r="H273" s="55">
        <f t="shared" si="72"/>
        <v>65205</v>
      </c>
    </row>
    <row r="274" ht="14.25" customHeight="1">
      <c r="A274" s="51">
        <v>304.0</v>
      </c>
      <c r="B274" s="51" t="s">
        <v>26</v>
      </c>
      <c r="C274" s="51" t="s">
        <v>15</v>
      </c>
      <c r="D274" s="51" t="s">
        <v>16</v>
      </c>
      <c r="E274" s="69">
        <v>63.0</v>
      </c>
      <c r="F274" s="70">
        <f t="shared" si="71"/>
        <v>3977505</v>
      </c>
      <c r="G274" s="55">
        <v>1035.0</v>
      </c>
      <c r="H274" s="55">
        <f t="shared" si="72"/>
        <v>65205</v>
      </c>
    </row>
    <row r="275" ht="14.25" customHeight="1">
      <c r="A275" s="51">
        <v>305.0</v>
      </c>
      <c r="B275" s="51" t="s">
        <v>26</v>
      </c>
      <c r="C275" s="51" t="s">
        <v>15</v>
      </c>
      <c r="D275" s="51" t="s">
        <v>16</v>
      </c>
      <c r="E275" s="69">
        <v>59.0</v>
      </c>
      <c r="F275" s="70">
        <f t="shared" si="71"/>
        <v>3670980</v>
      </c>
      <c r="G275" s="55">
        <v>1020.0</v>
      </c>
      <c r="H275" s="55">
        <f t="shared" si="72"/>
        <v>60180</v>
      </c>
    </row>
    <row r="276" ht="14.25" customHeight="1">
      <c r="A276" s="51">
        <v>306.0</v>
      </c>
      <c r="B276" s="51" t="s">
        <v>26</v>
      </c>
      <c r="C276" s="51" t="s">
        <v>18</v>
      </c>
      <c r="D276" s="51" t="s">
        <v>16</v>
      </c>
      <c r="E276" s="69">
        <v>102.0</v>
      </c>
      <c r="F276" s="70">
        <f>H276*58</f>
        <v>5146920</v>
      </c>
      <c r="G276" s="55">
        <v>870.0</v>
      </c>
      <c r="H276" s="55">
        <f t="shared" si="72"/>
        <v>88740</v>
      </c>
    </row>
    <row r="277" ht="14.25" customHeight="1">
      <c r="A277" s="51">
        <v>307.0</v>
      </c>
      <c r="B277" s="51" t="s">
        <v>26</v>
      </c>
      <c r="C277" s="52" t="s">
        <v>46</v>
      </c>
      <c r="D277" s="51" t="s">
        <v>24</v>
      </c>
      <c r="E277" s="69">
        <v>91.0</v>
      </c>
      <c r="F277" s="70">
        <f t="shared" ref="F277:F281" si="73">H277*61</f>
        <v>5745285</v>
      </c>
      <c r="G277" s="55">
        <v>1035.0</v>
      </c>
      <c r="H277" s="55">
        <f t="shared" si="72"/>
        <v>94185</v>
      </c>
    </row>
    <row r="278" ht="14.25" customHeight="1">
      <c r="A278" s="56">
        <v>308.0</v>
      </c>
      <c r="B278" s="56" t="s">
        <v>26</v>
      </c>
      <c r="C278" s="57" t="s">
        <v>46</v>
      </c>
      <c r="D278" s="56" t="s">
        <v>41</v>
      </c>
      <c r="E278" s="76">
        <v>106.0</v>
      </c>
      <c r="F278" s="77">
        <f t="shared" si="73"/>
        <v>6692310</v>
      </c>
      <c r="G278" s="60">
        <v>1035.0</v>
      </c>
      <c r="H278" s="60">
        <f t="shared" si="72"/>
        <v>109710</v>
      </c>
      <c r="I278" s="39"/>
    </row>
    <row r="279" ht="14.25" customHeight="1">
      <c r="A279" s="46">
        <v>309.0</v>
      </c>
      <c r="B279" s="46" t="s">
        <v>26</v>
      </c>
      <c r="C279" s="46" t="s">
        <v>15</v>
      </c>
      <c r="D279" s="46" t="s">
        <v>16</v>
      </c>
      <c r="E279" s="78">
        <v>59.0</v>
      </c>
      <c r="F279" s="79">
        <f t="shared" si="73"/>
        <v>3670980</v>
      </c>
      <c r="G279" s="80">
        <v>1020.0</v>
      </c>
      <c r="H279" s="80">
        <f t="shared" si="72"/>
        <v>60180</v>
      </c>
      <c r="I279" s="39"/>
    </row>
    <row r="280" ht="14.25" customHeight="1">
      <c r="A280" s="56">
        <v>310.0</v>
      </c>
      <c r="B280" s="56" t="s">
        <v>26</v>
      </c>
      <c r="C280" s="56" t="s">
        <v>15</v>
      </c>
      <c r="D280" s="56" t="s">
        <v>16</v>
      </c>
      <c r="E280" s="76">
        <v>63.0</v>
      </c>
      <c r="F280" s="77">
        <f t="shared" si="73"/>
        <v>3977505</v>
      </c>
      <c r="G280" s="60">
        <v>1035.0</v>
      </c>
      <c r="H280" s="60">
        <f t="shared" si="72"/>
        <v>65205</v>
      </c>
      <c r="I280" s="39"/>
    </row>
    <row r="281" ht="14.25" customHeight="1">
      <c r="A281" s="56">
        <v>311.0</v>
      </c>
      <c r="B281" s="56" t="s">
        <v>26</v>
      </c>
      <c r="C281" s="56" t="s">
        <v>15</v>
      </c>
      <c r="D281" s="56" t="s">
        <v>16</v>
      </c>
      <c r="E281" s="76">
        <v>61.0</v>
      </c>
      <c r="F281" s="77">
        <f t="shared" si="73"/>
        <v>3851235</v>
      </c>
      <c r="G281" s="60">
        <v>1035.0</v>
      </c>
      <c r="H281" s="60">
        <f t="shared" si="72"/>
        <v>63135</v>
      </c>
      <c r="I281" s="39"/>
    </row>
    <row r="282" ht="14.25" customHeight="1">
      <c r="A282" s="50" t="s">
        <v>28</v>
      </c>
      <c r="B282" s="2"/>
      <c r="C282" s="2"/>
      <c r="D282" s="2"/>
      <c r="E282" s="2"/>
      <c r="F282" s="2"/>
      <c r="G282" s="2"/>
      <c r="H282" s="3"/>
    </row>
    <row r="283" ht="14.25" customHeight="1">
      <c r="A283" s="51">
        <v>401.0</v>
      </c>
      <c r="B283" s="51" t="s">
        <v>29</v>
      </c>
      <c r="C283" s="52" t="s">
        <v>49</v>
      </c>
      <c r="D283" s="51" t="s">
        <v>16</v>
      </c>
      <c r="E283" s="69">
        <v>42.0</v>
      </c>
      <c r="F283" s="70">
        <f t="shared" ref="F283:F287" si="74">H283*61</f>
        <v>2702910</v>
      </c>
      <c r="G283" s="55">
        <v>1055.0</v>
      </c>
      <c r="H283" s="55">
        <f t="shared" ref="H283:H292" si="75">E283*G283</f>
        <v>44310</v>
      </c>
    </row>
    <row r="284" ht="14.25" customHeight="1">
      <c r="A284" s="51">
        <v>402.0</v>
      </c>
      <c r="B284" s="51" t="s">
        <v>29</v>
      </c>
      <c r="C284" s="51" t="s">
        <v>15</v>
      </c>
      <c r="D284" s="51" t="s">
        <v>16</v>
      </c>
      <c r="E284" s="69">
        <v>59.0</v>
      </c>
      <c r="F284" s="70">
        <f t="shared" si="74"/>
        <v>3724965</v>
      </c>
      <c r="G284" s="55">
        <v>1035.0</v>
      </c>
      <c r="H284" s="55">
        <f t="shared" si="75"/>
        <v>61065</v>
      </c>
    </row>
    <row r="285" ht="14.25" customHeight="1">
      <c r="A285" s="51">
        <v>403.0</v>
      </c>
      <c r="B285" s="51" t="s">
        <v>29</v>
      </c>
      <c r="C285" s="51" t="s">
        <v>15</v>
      </c>
      <c r="D285" s="51" t="s">
        <v>16</v>
      </c>
      <c r="E285" s="69">
        <v>63.0</v>
      </c>
      <c r="F285" s="70">
        <f t="shared" si="74"/>
        <v>4054365</v>
      </c>
      <c r="G285" s="55">
        <v>1055.0</v>
      </c>
      <c r="H285" s="55">
        <f t="shared" si="75"/>
        <v>66465</v>
      </c>
    </row>
    <row r="286" ht="14.25" customHeight="1">
      <c r="A286" s="51">
        <v>404.0</v>
      </c>
      <c r="B286" s="51" t="s">
        <v>29</v>
      </c>
      <c r="C286" s="51" t="s">
        <v>15</v>
      </c>
      <c r="D286" s="51" t="s">
        <v>16</v>
      </c>
      <c r="E286" s="69">
        <v>63.0</v>
      </c>
      <c r="F286" s="70">
        <f t="shared" si="74"/>
        <v>4054365</v>
      </c>
      <c r="G286" s="55">
        <v>1055.0</v>
      </c>
      <c r="H286" s="55">
        <f t="shared" si="75"/>
        <v>66465</v>
      </c>
    </row>
    <row r="287" ht="14.25" customHeight="1">
      <c r="A287" s="51">
        <v>405.0</v>
      </c>
      <c r="B287" s="51" t="s">
        <v>29</v>
      </c>
      <c r="C287" s="51" t="s">
        <v>15</v>
      </c>
      <c r="D287" s="51" t="s">
        <v>16</v>
      </c>
      <c r="E287" s="69">
        <v>59.0</v>
      </c>
      <c r="F287" s="70">
        <f t="shared" si="74"/>
        <v>3724965</v>
      </c>
      <c r="G287" s="55">
        <v>1035.0</v>
      </c>
      <c r="H287" s="55">
        <f t="shared" si="75"/>
        <v>61065</v>
      </c>
    </row>
    <row r="288" ht="14.25" customHeight="1">
      <c r="A288" s="51">
        <v>406.0</v>
      </c>
      <c r="B288" s="51" t="s">
        <v>29</v>
      </c>
      <c r="C288" s="51" t="s">
        <v>18</v>
      </c>
      <c r="D288" s="51" t="s">
        <v>16</v>
      </c>
      <c r="E288" s="69">
        <v>102.0</v>
      </c>
      <c r="F288" s="70">
        <f>H288*59</f>
        <v>5356020</v>
      </c>
      <c r="G288" s="55">
        <v>890.0</v>
      </c>
      <c r="H288" s="55">
        <f t="shared" si="75"/>
        <v>90780</v>
      </c>
    </row>
    <row r="289" ht="14.25" customHeight="1">
      <c r="A289" s="51">
        <v>407.0</v>
      </c>
      <c r="B289" s="51" t="s">
        <v>29</v>
      </c>
      <c r="C289" s="52" t="s">
        <v>46</v>
      </c>
      <c r="D289" s="51" t="s">
        <v>24</v>
      </c>
      <c r="E289" s="69">
        <v>91.0</v>
      </c>
      <c r="F289" s="70">
        <f t="shared" ref="F289:F292" si="76">H289*61</f>
        <v>5856305</v>
      </c>
      <c r="G289" s="55">
        <v>1055.0</v>
      </c>
      <c r="H289" s="55">
        <f t="shared" si="75"/>
        <v>96005</v>
      </c>
    </row>
    <row r="290" ht="14.25" customHeight="1">
      <c r="A290" s="51">
        <v>408.0</v>
      </c>
      <c r="B290" s="51" t="s">
        <v>29</v>
      </c>
      <c r="C290" s="52" t="s">
        <v>46</v>
      </c>
      <c r="D290" s="51" t="s">
        <v>41</v>
      </c>
      <c r="E290" s="69">
        <v>106.0</v>
      </c>
      <c r="F290" s="70">
        <f t="shared" si="76"/>
        <v>6821630</v>
      </c>
      <c r="G290" s="55">
        <v>1055.0</v>
      </c>
      <c r="H290" s="55">
        <f t="shared" si="75"/>
        <v>111830</v>
      </c>
    </row>
    <row r="291" ht="14.25" customHeight="1">
      <c r="A291" s="51">
        <v>409.0</v>
      </c>
      <c r="B291" s="51" t="s">
        <v>29</v>
      </c>
      <c r="C291" s="51" t="s">
        <v>15</v>
      </c>
      <c r="D291" s="51" t="s">
        <v>16</v>
      </c>
      <c r="E291" s="69">
        <v>59.0</v>
      </c>
      <c r="F291" s="70">
        <f t="shared" si="76"/>
        <v>3724965</v>
      </c>
      <c r="G291" s="55">
        <v>1035.0</v>
      </c>
      <c r="H291" s="55">
        <f t="shared" si="75"/>
        <v>61065</v>
      </c>
    </row>
    <row r="292" ht="14.25" customHeight="1">
      <c r="A292" s="51">
        <v>411.0</v>
      </c>
      <c r="B292" s="51" t="s">
        <v>29</v>
      </c>
      <c r="C292" s="51" t="s">
        <v>15</v>
      </c>
      <c r="D292" s="51" t="s">
        <v>16</v>
      </c>
      <c r="E292" s="69">
        <v>61.0</v>
      </c>
      <c r="F292" s="70">
        <f t="shared" si="76"/>
        <v>3925655</v>
      </c>
      <c r="G292" s="55">
        <v>1055.0</v>
      </c>
      <c r="H292" s="55">
        <f t="shared" si="75"/>
        <v>64355</v>
      </c>
    </row>
    <row r="293" ht="14.25" customHeight="1"/>
    <row r="294" ht="14.25" customHeight="1"/>
    <row r="295" ht="14.25" customHeight="1">
      <c r="B295" s="81" t="s">
        <v>50</v>
      </c>
      <c r="C295" s="82"/>
      <c r="D295" s="82"/>
      <c r="E295" s="82"/>
      <c r="F295" s="82"/>
      <c r="G295" s="83"/>
    </row>
    <row r="296" ht="14.25" customHeight="1">
      <c r="B296" s="81" t="s">
        <v>51</v>
      </c>
      <c r="C296" s="82"/>
      <c r="D296" s="82"/>
      <c r="E296" s="82"/>
      <c r="F296" s="82"/>
      <c r="G296" s="83"/>
    </row>
    <row r="297" ht="14.25" customHeight="1">
      <c r="B297" s="84"/>
      <c r="C297" s="84"/>
      <c r="D297" s="84"/>
      <c r="E297" s="84"/>
      <c r="F297" s="84"/>
      <c r="G297" s="84"/>
    </row>
    <row r="298" ht="14.25" customHeight="1">
      <c r="B298" s="85" t="s">
        <v>52</v>
      </c>
      <c r="C298" s="86"/>
      <c r="D298" s="86"/>
      <c r="E298" s="86"/>
      <c r="F298" s="86"/>
      <c r="G298" s="87"/>
    </row>
    <row r="299" ht="60.75" customHeight="1">
      <c r="B299" s="85" t="s">
        <v>53</v>
      </c>
      <c r="C299" s="86"/>
      <c r="D299" s="86"/>
      <c r="E299" s="86"/>
      <c r="F299" s="86"/>
      <c r="G299" s="87"/>
    </row>
    <row r="300" ht="14.25" customHeight="1">
      <c r="B300" s="88"/>
      <c r="C300" s="89"/>
      <c r="D300" s="89"/>
      <c r="E300" s="89"/>
      <c r="F300" s="89"/>
      <c r="G300" s="89"/>
    </row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A1:H1"/>
    <mergeCell ref="D2:H2"/>
    <mergeCell ref="A4:H4"/>
    <mergeCell ref="A11:H11"/>
    <mergeCell ref="A17:H17"/>
    <mergeCell ref="A25:H25"/>
    <mergeCell ref="D33:H33"/>
    <mergeCell ref="A35:H35"/>
    <mergeCell ref="A48:H48"/>
    <mergeCell ref="A58:H58"/>
    <mergeCell ref="A63:H63"/>
    <mergeCell ref="D75:H75"/>
    <mergeCell ref="A77:H77"/>
    <mergeCell ref="A95:H95"/>
    <mergeCell ref="A110:H110"/>
    <mergeCell ref="A122:H122"/>
    <mergeCell ref="D136:H136"/>
    <mergeCell ref="A138:H138"/>
    <mergeCell ref="A157:H157"/>
    <mergeCell ref="A175:H175"/>
    <mergeCell ref="A192:H192"/>
    <mergeCell ref="A260:H260"/>
    <mergeCell ref="A271:H271"/>
    <mergeCell ref="A282:H282"/>
    <mergeCell ref="B295:G295"/>
    <mergeCell ref="B296:G296"/>
    <mergeCell ref="B298:G298"/>
    <mergeCell ref="B299:G299"/>
    <mergeCell ref="D211:H211"/>
    <mergeCell ref="A213:H213"/>
    <mergeCell ref="A224:H224"/>
    <mergeCell ref="A232:H232"/>
    <mergeCell ref="A238:H238"/>
    <mergeCell ref="D248:H248"/>
    <mergeCell ref="A250:H250"/>
  </mergeCells>
  <printOptions/>
  <pageMargins bottom="0.75" footer="0.0" header="0.0" left="0.7" right="0.7" top="0.75"/>
  <pageSetup paperSize="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mina bekhet</dc:creator>
</cp:coreProperties>
</file>